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3.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4.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592AA3BE-6C95-458D-9645-F6D8CBA446FC}" xr6:coauthVersionLast="47" xr6:coauthVersionMax="47" xr10:uidLastSave="{00000000-0000-0000-0000-000000000000}"/>
  <bookViews>
    <workbookView xWindow="-108" yWindow="-108" windowWidth="23256" windowHeight="12456" tabRatio="821" firstSheet="1" activeTab="6" xr2:uid="{00000000-000D-0000-FFFF-FFFF00000000}"/>
  </bookViews>
  <sheets>
    <sheet name="Uncleaned_Blinkit_Data" sheetId="1" r:id="rId1"/>
    <sheet name="Area wise customer rating" sheetId="9" r:id="rId2"/>
    <sheet name="Customer prefrence in product" sheetId="13" r:id="rId3"/>
    <sheet name="Day wise sales" sheetId="10" r:id="rId4"/>
    <sheet name="City wise Category and sales co" sheetId="5" r:id="rId5"/>
    <sheet name="Product sales " sheetId="7" r:id="rId6"/>
    <sheet name="Dashbaord" sheetId="14" r:id="rId7"/>
  </sheets>
  <definedNames>
    <definedName name="_xlnm._FilterDatabase" localSheetId="0" hidden="1">Uncleaned_Blinkit_Data!$A$1:$S$502</definedName>
    <definedName name="Slicer_Area">#N/A</definedName>
    <definedName name="Slicer_Category">#N/A</definedName>
    <definedName name="Slicer_city">#N/A</definedName>
    <definedName name="Slicer_Months__Order_d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502" i="1" l="1"/>
  <c r="C3" i="1"/>
  <c r="D3" i="1" s="1"/>
  <c r="C4" i="1"/>
  <c r="D4" i="1" s="1"/>
  <c r="C5" i="1"/>
  <c r="D5" i="1" s="1"/>
  <c r="C6" i="1"/>
  <c r="D6" i="1" s="1"/>
  <c r="C7" i="1"/>
  <c r="D7" i="1" s="1"/>
  <c r="C8" i="1"/>
  <c r="D8" i="1" s="1"/>
  <c r="C9" i="1"/>
  <c r="D9" i="1" s="1"/>
  <c r="C10" i="1"/>
  <c r="D10" i="1" s="1"/>
  <c r="C11" i="1"/>
  <c r="D11" i="1" s="1"/>
  <c r="C12" i="1"/>
  <c r="D12" i="1" s="1"/>
  <c r="C13" i="1"/>
  <c r="D13" i="1" s="1"/>
  <c r="C14" i="1"/>
  <c r="D14" i="1" s="1"/>
  <c r="C15" i="1"/>
  <c r="D15" i="1" s="1"/>
  <c r="C16" i="1"/>
  <c r="D16" i="1" s="1"/>
  <c r="C17" i="1"/>
  <c r="D17" i="1" s="1"/>
  <c r="C18" i="1"/>
  <c r="D18" i="1" s="1"/>
  <c r="C19" i="1"/>
  <c r="D19" i="1" s="1"/>
  <c r="C20" i="1"/>
  <c r="D20" i="1" s="1"/>
  <c r="C21" i="1"/>
  <c r="D21" i="1" s="1"/>
  <c r="C22" i="1"/>
  <c r="D22" i="1" s="1"/>
  <c r="C23" i="1"/>
  <c r="D23" i="1" s="1"/>
  <c r="C24" i="1"/>
  <c r="D24" i="1" s="1"/>
  <c r="C25" i="1"/>
  <c r="D25" i="1" s="1"/>
  <c r="C26" i="1"/>
  <c r="D26" i="1" s="1"/>
  <c r="C27" i="1"/>
  <c r="D27" i="1" s="1"/>
  <c r="C28" i="1"/>
  <c r="D28" i="1" s="1"/>
  <c r="C29" i="1"/>
  <c r="D29" i="1" s="1"/>
  <c r="C30" i="1"/>
  <c r="D30" i="1" s="1"/>
  <c r="C31" i="1"/>
  <c r="D31" i="1" s="1"/>
  <c r="C32" i="1"/>
  <c r="D32" i="1" s="1"/>
  <c r="C33" i="1"/>
  <c r="D33" i="1" s="1"/>
  <c r="C34" i="1"/>
  <c r="D34" i="1" s="1"/>
  <c r="C35" i="1"/>
  <c r="D35" i="1" s="1"/>
  <c r="C36" i="1"/>
  <c r="D36" i="1" s="1"/>
  <c r="C37" i="1"/>
  <c r="D37" i="1" s="1"/>
  <c r="C38" i="1"/>
  <c r="D38" i="1" s="1"/>
  <c r="C39" i="1"/>
  <c r="D39" i="1" s="1"/>
  <c r="C40" i="1"/>
  <c r="D40" i="1" s="1"/>
  <c r="C41" i="1"/>
  <c r="D41" i="1" s="1"/>
  <c r="C42" i="1"/>
  <c r="D42" i="1" s="1"/>
  <c r="C43" i="1"/>
  <c r="D43" i="1" s="1"/>
  <c r="C44" i="1"/>
  <c r="D44" i="1" s="1"/>
  <c r="C45" i="1"/>
  <c r="D45" i="1" s="1"/>
  <c r="C46" i="1"/>
  <c r="D46" i="1" s="1"/>
  <c r="C47" i="1"/>
  <c r="D47" i="1" s="1"/>
  <c r="C48" i="1"/>
  <c r="D48" i="1" s="1"/>
  <c r="C49" i="1"/>
  <c r="D49" i="1" s="1"/>
  <c r="C50" i="1"/>
  <c r="D50" i="1" s="1"/>
  <c r="C51" i="1"/>
  <c r="D51" i="1" s="1"/>
  <c r="C52" i="1"/>
  <c r="D52" i="1" s="1"/>
  <c r="C53" i="1"/>
  <c r="D53" i="1" s="1"/>
  <c r="C54" i="1"/>
  <c r="D54" i="1" s="1"/>
  <c r="C55" i="1"/>
  <c r="D55" i="1" s="1"/>
  <c r="C56" i="1"/>
  <c r="D56" i="1" s="1"/>
  <c r="C57" i="1"/>
  <c r="D57" i="1" s="1"/>
  <c r="C58" i="1"/>
  <c r="D58" i="1" s="1"/>
  <c r="C59" i="1"/>
  <c r="D59" i="1" s="1"/>
  <c r="C60" i="1"/>
  <c r="D60" i="1" s="1"/>
  <c r="C61" i="1"/>
  <c r="D61" i="1" s="1"/>
  <c r="C62" i="1"/>
  <c r="D62" i="1" s="1"/>
  <c r="C63" i="1"/>
  <c r="D63" i="1" s="1"/>
  <c r="C64" i="1"/>
  <c r="D64" i="1" s="1"/>
  <c r="C65" i="1"/>
  <c r="D65" i="1" s="1"/>
  <c r="C66" i="1"/>
  <c r="D66" i="1" s="1"/>
  <c r="C67" i="1"/>
  <c r="D67" i="1" s="1"/>
  <c r="C68" i="1"/>
  <c r="D68" i="1" s="1"/>
  <c r="C69" i="1"/>
  <c r="D69" i="1" s="1"/>
  <c r="C70" i="1"/>
  <c r="D70" i="1" s="1"/>
  <c r="C71" i="1"/>
  <c r="D71" i="1" s="1"/>
  <c r="C72" i="1"/>
  <c r="D72" i="1" s="1"/>
  <c r="C73" i="1"/>
  <c r="D73" i="1" s="1"/>
  <c r="C74" i="1"/>
  <c r="D74" i="1" s="1"/>
  <c r="C75" i="1"/>
  <c r="D75" i="1" s="1"/>
  <c r="C76" i="1"/>
  <c r="D76" i="1" s="1"/>
  <c r="C77" i="1"/>
  <c r="D77" i="1" s="1"/>
  <c r="C78" i="1"/>
  <c r="D78" i="1" s="1"/>
  <c r="C79" i="1"/>
  <c r="D79" i="1" s="1"/>
  <c r="C80" i="1"/>
  <c r="D80" i="1" s="1"/>
  <c r="C81" i="1"/>
  <c r="D81" i="1" s="1"/>
  <c r="C82" i="1"/>
  <c r="D82" i="1" s="1"/>
  <c r="C83" i="1"/>
  <c r="D83" i="1" s="1"/>
  <c r="C84" i="1"/>
  <c r="D84" i="1" s="1"/>
  <c r="C85" i="1"/>
  <c r="D85" i="1" s="1"/>
  <c r="C86" i="1"/>
  <c r="D86" i="1" s="1"/>
  <c r="C87" i="1"/>
  <c r="D87" i="1" s="1"/>
  <c r="C88" i="1"/>
  <c r="D88" i="1" s="1"/>
  <c r="C89" i="1"/>
  <c r="D89" i="1" s="1"/>
  <c r="C90" i="1"/>
  <c r="D90" i="1" s="1"/>
  <c r="C91" i="1"/>
  <c r="D91" i="1" s="1"/>
  <c r="C92" i="1"/>
  <c r="D92" i="1" s="1"/>
  <c r="C93" i="1"/>
  <c r="D93" i="1" s="1"/>
  <c r="C94" i="1"/>
  <c r="D94" i="1" s="1"/>
  <c r="C95" i="1"/>
  <c r="D95" i="1" s="1"/>
  <c r="C96" i="1"/>
  <c r="D96" i="1" s="1"/>
  <c r="C97" i="1"/>
  <c r="D97" i="1" s="1"/>
  <c r="C98" i="1"/>
  <c r="D98" i="1" s="1"/>
  <c r="C99" i="1"/>
  <c r="D99" i="1" s="1"/>
  <c r="C100" i="1"/>
  <c r="D100" i="1" s="1"/>
  <c r="C101" i="1"/>
  <c r="D101" i="1" s="1"/>
  <c r="C102" i="1"/>
  <c r="D102" i="1" s="1"/>
  <c r="C103" i="1"/>
  <c r="D103" i="1" s="1"/>
  <c r="C104" i="1"/>
  <c r="D104" i="1" s="1"/>
  <c r="C105" i="1"/>
  <c r="D105" i="1" s="1"/>
  <c r="C106" i="1"/>
  <c r="D106" i="1" s="1"/>
  <c r="C107" i="1"/>
  <c r="D107" i="1" s="1"/>
  <c r="C108" i="1"/>
  <c r="D108" i="1" s="1"/>
  <c r="C109" i="1"/>
  <c r="D109" i="1" s="1"/>
  <c r="C110" i="1"/>
  <c r="D110" i="1" s="1"/>
  <c r="C111" i="1"/>
  <c r="D111" i="1" s="1"/>
  <c r="C112" i="1"/>
  <c r="D112" i="1" s="1"/>
  <c r="C113" i="1"/>
  <c r="D113" i="1" s="1"/>
  <c r="C114" i="1"/>
  <c r="D114" i="1" s="1"/>
  <c r="C115" i="1"/>
  <c r="D115" i="1" s="1"/>
  <c r="C116" i="1"/>
  <c r="D116" i="1" s="1"/>
  <c r="C117" i="1"/>
  <c r="D117" i="1" s="1"/>
  <c r="C118" i="1"/>
  <c r="D118" i="1" s="1"/>
  <c r="C119" i="1"/>
  <c r="D119" i="1" s="1"/>
  <c r="C120" i="1"/>
  <c r="D120" i="1" s="1"/>
  <c r="C121" i="1"/>
  <c r="D121" i="1" s="1"/>
  <c r="C122" i="1"/>
  <c r="D122" i="1" s="1"/>
  <c r="C123" i="1"/>
  <c r="D123" i="1" s="1"/>
  <c r="C124" i="1"/>
  <c r="D124" i="1" s="1"/>
  <c r="C125" i="1"/>
  <c r="D125" i="1" s="1"/>
  <c r="C126" i="1"/>
  <c r="D126" i="1" s="1"/>
  <c r="C127" i="1"/>
  <c r="D127" i="1" s="1"/>
  <c r="C128" i="1"/>
  <c r="D128" i="1" s="1"/>
  <c r="C129" i="1"/>
  <c r="D129" i="1" s="1"/>
  <c r="C130" i="1"/>
  <c r="D130" i="1" s="1"/>
  <c r="C131" i="1"/>
  <c r="D131" i="1" s="1"/>
  <c r="C132" i="1"/>
  <c r="D132" i="1" s="1"/>
  <c r="C133" i="1"/>
  <c r="D133" i="1" s="1"/>
  <c r="C134" i="1"/>
  <c r="D134" i="1" s="1"/>
  <c r="C135" i="1"/>
  <c r="D135" i="1" s="1"/>
  <c r="C136" i="1"/>
  <c r="D136" i="1" s="1"/>
  <c r="C137" i="1"/>
  <c r="D137" i="1" s="1"/>
  <c r="C138" i="1"/>
  <c r="D138" i="1" s="1"/>
  <c r="C139" i="1"/>
  <c r="D139" i="1" s="1"/>
  <c r="C140" i="1"/>
  <c r="D140" i="1" s="1"/>
  <c r="C141" i="1"/>
  <c r="D141" i="1" s="1"/>
  <c r="C142" i="1"/>
  <c r="D142" i="1" s="1"/>
  <c r="C143" i="1"/>
  <c r="D143" i="1" s="1"/>
  <c r="C144" i="1"/>
  <c r="D144" i="1" s="1"/>
  <c r="C145" i="1"/>
  <c r="D145" i="1" s="1"/>
  <c r="C146" i="1"/>
  <c r="D146" i="1" s="1"/>
  <c r="C147" i="1"/>
  <c r="D147" i="1" s="1"/>
  <c r="C148" i="1"/>
  <c r="D148" i="1" s="1"/>
  <c r="C149" i="1"/>
  <c r="D149" i="1" s="1"/>
  <c r="C150" i="1"/>
  <c r="D150" i="1" s="1"/>
  <c r="C151" i="1"/>
  <c r="D151" i="1" s="1"/>
  <c r="C152" i="1"/>
  <c r="D152" i="1" s="1"/>
  <c r="C153" i="1"/>
  <c r="D153" i="1" s="1"/>
  <c r="C154" i="1"/>
  <c r="D154" i="1" s="1"/>
  <c r="C155" i="1"/>
  <c r="D155" i="1" s="1"/>
  <c r="C156" i="1"/>
  <c r="D156" i="1" s="1"/>
  <c r="C157" i="1"/>
  <c r="D157" i="1" s="1"/>
  <c r="C158" i="1"/>
  <c r="D158" i="1" s="1"/>
  <c r="C159" i="1"/>
  <c r="D159" i="1" s="1"/>
  <c r="C160" i="1"/>
  <c r="D160" i="1" s="1"/>
  <c r="C161" i="1"/>
  <c r="D161" i="1" s="1"/>
  <c r="C162" i="1"/>
  <c r="D162" i="1" s="1"/>
  <c r="C163" i="1"/>
  <c r="D163" i="1" s="1"/>
  <c r="C164" i="1"/>
  <c r="D164" i="1" s="1"/>
  <c r="C165" i="1"/>
  <c r="D165" i="1" s="1"/>
  <c r="C166" i="1"/>
  <c r="D166" i="1" s="1"/>
  <c r="C167" i="1"/>
  <c r="D167" i="1" s="1"/>
  <c r="C168" i="1"/>
  <c r="D168" i="1" s="1"/>
  <c r="C169" i="1"/>
  <c r="D169" i="1" s="1"/>
  <c r="C170" i="1"/>
  <c r="D170" i="1" s="1"/>
  <c r="C171" i="1"/>
  <c r="D171" i="1" s="1"/>
  <c r="C172" i="1"/>
  <c r="D172" i="1" s="1"/>
  <c r="C173" i="1"/>
  <c r="D173" i="1" s="1"/>
  <c r="C174" i="1"/>
  <c r="D174" i="1" s="1"/>
  <c r="C175" i="1"/>
  <c r="D175" i="1" s="1"/>
  <c r="C176" i="1"/>
  <c r="D176" i="1" s="1"/>
  <c r="C177" i="1"/>
  <c r="D177" i="1" s="1"/>
  <c r="C178" i="1"/>
  <c r="D178" i="1" s="1"/>
  <c r="C179" i="1"/>
  <c r="D179" i="1" s="1"/>
  <c r="C180" i="1"/>
  <c r="D180" i="1" s="1"/>
  <c r="C181" i="1"/>
  <c r="D181" i="1" s="1"/>
  <c r="C182" i="1"/>
  <c r="D182" i="1" s="1"/>
  <c r="C183" i="1"/>
  <c r="D183" i="1" s="1"/>
  <c r="C184" i="1"/>
  <c r="D184" i="1" s="1"/>
  <c r="C185" i="1"/>
  <c r="D185" i="1" s="1"/>
  <c r="C186" i="1"/>
  <c r="D186" i="1" s="1"/>
  <c r="C187" i="1"/>
  <c r="D187" i="1" s="1"/>
  <c r="C188" i="1"/>
  <c r="D188" i="1" s="1"/>
  <c r="C189" i="1"/>
  <c r="D189" i="1" s="1"/>
  <c r="C190" i="1"/>
  <c r="D190" i="1" s="1"/>
  <c r="C191" i="1"/>
  <c r="D191" i="1" s="1"/>
  <c r="C192" i="1"/>
  <c r="D192" i="1" s="1"/>
  <c r="C193" i="1"/>
  <c r="D193" i="1" s="1"/>
  <c r="C194" i="1"/>
  <c r="D194" i="1" s="1"/>
  <c r="C195" i="1"/>
  <c r="D195" i="1" s="1"/>
  <c r="C196" i="1"/>
  <c r="D196" i="1" s="1"/>
  <c r="C197" i="1"/>
  <c r="D197" i="1" s="1"/>
  <c r="C198" i="1"/>
  <c r="D198" i="1" s="1"/>
  <c r="C199" i="1"/>
  <c r="D199" i="1" s="1"/>
  <c r="C200" i="1"/>
  <c r="D200" i="1" s="1"/>
  <c r="C201" i="1"/>
  <c r="D201" i="1" s="1"/>
  <c r="C202" i="1"/>
  <c r="D202" i="1" s="1"/>
  <c r="C203" i="1"/>
  <c r="D203" i="1" s="1"/>
  <c r="C204" i="1"/>
  <c r="D204" i="1" s="1"/>
  <c r="C205" i="1"/>
  <c r="D205" i="1" s="1"/>
  <c r="C206" i="1"/>
  <c r="D206" i="1" s="1"/>
  <c r="C207" i="1"/>
  <c r="D207" i="1" s="1"/>
  <c r="C208" i="1"/>
  <c r="D208" i="1" s="1"/>
  <c r="C209" i="1"/>
  <c r="D209" i="1" s="1"/>
  <c r="C210" i="1"/>
  <c r="D210" i="1" s="1"/>
  <c r="C211" i="1"/>
  <c r="D211" i="1" s="1"/>
  <c r="C212" i="1"/>
  <c r="D212" i="1" s="1"/>
  <c r="C213" i="1"/>
  <c r="D213" i="1" s="1"/>
  <c r="C214" i="1"/>
  <c r="D214" i="1" s="1"/>
  <c r="C215" i="1"/>
  <c r="D215" i="1" s="1"/>
  <c r="C216" i="1"/>
  <c r="D216" i="1" s="1"/>
  <c r="C217" i="1"/>
  <c r="D217" i="1" s="1"/>
  <c r="C218" i="1"/>
  <c r="D218" i="1" s="1"/>
  <c r="C219" i="1"/>
  <c r="D219" i="1" s="1"/>
  <c r="C220" i="1"/>
  <c r="D220" i="1" s="1"/>
  <c r="C221" i="1"/>
  <c r="D221" i="1" s="1"/>
  <c r="C222" i="1"/>
  <c r="D222" i="1" s="1"/>
  <c r="C223" i="1"/>
  <c r="D223" i="1" s="1"/>
  <c r="C224" i="1"/>
  <c r="D224" i="1" s="1"/>
  <c r="C225" i="1"/>
  <c r="D225" i="1" s="1"/>
  <c r="C226" i="1"/>
  <c r="D226" i="1" s="1"/>
  <c r="C227" i="1"/>
  <c r="D227" i="1" s="1"/>
  <c r="C228" i="1"/>
  <c r="D228" i="1" s="1"/>
  <c r="C229" i="1"/>
  <c r="D229" i="1" s="1"/>
  <c r="C230" i="1"/>
  <c r="D230" i="1" s="1"/>
  <c r="C231" i="1"/>
  <c r="D231" i="1" s="1"/>
  <c r="C232" i="1"/>
  <c r="D232" i="1" s="1"/>
  <c r="C233" i="1"/>
  <c r="D233" i="1" s="1"/>
  <c r="C234" i="1"/>
  <c r="D234" i="1" s="1"/>
  <c r="C235" i="1"/>
  <c r="D235" i="1" s="1"/>
  <c r="C236" i="1"/>
  <c r="D236" i="1" s="1"/>
  <c r="C237" i="1"/>
  <c r="D237" i="1" s="1"/>
  <c r="C238" i="1"/>
  <c r="D238" i="1" s="1"/>
  <c r="C239" i="1"/>
  <c r="D239" i="1" s="1"/>
  <c r="C240" i="1"/>
  <c r="D240" i="1" s="1"/>
  <c r="C241" i="1"/>
  <c r="D241" i="1" s="1"/>
  <c r="C242" i="1"/>
  <c r="D242" i="1" s="1"/>
  <c r="C243" i="1"/>
  <c r="D243" i="1" s="1"/>
  <c r="C244" i="1"/>
  <c r="D244" i="1" s="1"/>
  <c r="C245" i="1"/>
  <c r="D245" i="1" s="1"/>
  <c r="C246" i="1"/>
  <c r="D246" i="1" s="1"/>
  <c r="C247" i="1"/>
  <c r="D247" i="1" s="1"/>
  <c r="C248" i="1"/>
  <c r="D248" i="1" s="1"/>
  <c r="C249" i="1"/>
  <c r="D249" i="1" s="1"/>
  <c r="C250" i="1"/>
  <c r="D250" i="1" s="1"/>
  <c r="C251" i="1"/>
  <c r="D251" i="1" s="1"/>
  <c r="C252" i="1"/>
  <c r="D252" i="1" s="1"/>
  <c r="C253" i="1"/>
  <c r="D253" i="1" s="1"/>
  <c r="C254" i="1"/>
  <c r="D254" i="1" s="1"/>
  <c r="C255" i="1"/>
  <c r="D255" i="1" s="1"/>
  <c r="C256" i="1"/>
  <c r="D256" i="1" s="1"/>
  <c r="C257" i="1"/>
  <c r="D257" i="1" s="1"/>
  <c r="C258" i="1"/>
  <c r="D258" i="1" s="1"/>
  <c r="C259" i="1"/>
  <c r="D259" i="1" s="1"/>
  <c r="C260" i="1"/>
  <c r="D260" i="1" s="1"/>
  <c r="C261" i="1"/>
  <c r="D261" i="1" s="1"/>
  <c r="C262" i="1"/>
  <c r="D262" i="1" s="1"/>
  <c r="C263" i="1"/>
  <c r="D263" i="1" s="1"/>
  <c r="C264" i="1"/>
  <c r="D264" i="1" s="1"/>
  <c r="C265" i="1"/>
  <c r="D265" i="1" s="1"/>
  <c r="C266" i="1"/>
  <c r="D266" i="1" s="1"/>
  <c r="C267" i="1"/>
  <c r="D267" i="1" s="1"/>
  <c r="C268" i="1"/>
  <c r="D268" i="1" s="1"/>
  <c r="C269" i="1"/>
  <c r="D269" i="1" s="1"/>
  <c r="C270" i="1"/>
  <c r="D270" i="1" s="1"/>
  <c r="C271" i="1"/>
  <c r="D271" i="1" s="1"/>
  <c r="C272" i="1"/>
  <c r="D272" i="1" s="1"/>
  <c r="C273" i="1"/>
  <c r="D273" i="1" s="1"/>
  <c r="C274" i="1"/>
  <c r="D274" i="1" s="1"/>
  <c r="C275" i="1"/>
  <c r="D275" i="1" s="1"/>
  <c r="C276" i="1"/>
  <c r="D276" i="1" s="1"/>
  <c r="C277" i="1"/>
  <c r="D277" i="1" s="1"/>
  <c r="C278" i="1"/>
  <c r="D278" i="1" s="1"/>
  <c r="C279" i="1"/>
  <c r="D279" i="1" s="1"/>
  <c r="C280" i="1"/>
  <c r="D280" i="1" s="1"/>
  <c r="C281" i="1"/>
  <c r="D281" i="1" s="1"/>
  <c r="C282" i="1"/>
  <c r="D282" i="1" s="1"/>
  <c r="C283" i="1"/>
  <c r="D283" i="1" s="1"/>
  <c r="C284" i="1"/>
  <c r="D284" i="1" s="1"/>
  <c r="C285" i="1"/>
  <c r="D285" i="1" s="1"/>
  <c r="C286" i="1"/>
  <c r="D286" i="1" s="1"/>
  <c r="C287" i="1"/>
  <c r="D287" i="1" s="1"/>
  <c r="C288" i="1"/>
  <c r="D288" i="1" s="1"/>
  <c r="C289" i="1"/>
  <c r="D289" i="1" s="1"/>
  <c r="C290" i="1"/>
  <c r="D290" i="1" s="1"/>
  <c r="C291" i="1"/>
  <c r="D291" i="1" s="1"/>
  <c r="C292" i="1"/>
  <c r="D292" i="1" s="1"/>
  <c r="C293" i="1"/>
  <c r="D293" i="1" s="1"/>
  <c r="C294" i="1"/>
  <c r="D294" i="1" s="1"/>
  <c r="C295" i="1"/>
  <c r="D295" i="1" s="1"/>
  <c r="C296" i="1"/>
  <c r="D296" i="1" s="1"/>
  <c r="C297" i="1"/>
  <c r="D297" i="1" s="1"/>
  <c r="C298" i="1"/>
  <c r="D298" i="1" s="1"/>
  <c r="C299" i="1"/>
  <c r="D299" i="1" s="1"/>
  <c r="C300" i="1"/>
  <c r="D300" i="1" s="1"/>
  <c r="C301" i="1"/>
  <c r="D301" i="1" s="1"/>
  <c r="C302" i="1"/>
  <c r="D302" i="1" s="1"/>
  <c r="C303" i="1"/>
  <c r="D303" i="1" s="1"/>
  <c r="C304" i="1"/>
  <c r="D304" i="1" s="1"/>
  <c r="C305" i="1"/>
  <c r="D305" i="1" s="1"/>
  <c r="C306" i="1"/>
  <c r="D306" i="1" s="1"/>
  <c r="C307" i="1"/>
  <c r="D307" i="1" s="1"/>
  <c r="C308" i="1"/>
  <c r="D308" i="1" s="1"/>
  <c r="C309" i="1"/>
  <c r="D309" i="1" s="1"/>
  <c r="C310" i="1"/>
  <c r="D310" i="1" s="1"/>
  <c r="C311" i="1"/>
  <c r="D311" i="1" s="1"/>
  <c r="C312" i="1"/>
  <c r="D312" i="1" s="1"/>
  <c r="C313" i="1"/>
  <c r="D313" i="1" s="1"/>
  <c r="C314" i="1"/>
  <c r="D314" i="1" s="1"/>
  <c r="C315" i="1"/>
  <c r="D315" i="1" s="1"/>
  <c r="C316" i="1"/>
  <c r="D316" i="1" s="1"/>
  <c r="C317" i="1"/>
  <c r="D317" i="1" s="1"/>
  <c r="C318" i="1"/>
  <c r="D318" i="1" s="1"/>
  <c r="C319" i="1"/>
  <c r="D319" i="1" s="1"/>
  <c r="C320" i="1"/>
  <c r="D320" i="1" s="1"/>
  <c r="C321" i="1"/>
  <c r="D321" i="1" s="1"/>
  <c r="C322" i="1"/>
  <c r="D322" i="1" s="1"/>
  <c r="C323" i="1"/>
  <c r="D323" i="1" s="1"/>
  <c r="C324" i="1"/>
  <c r="D324" i="1" s="1"/>
  <c r="C325" i="1"/>
  <c r="D325" i="1" s="1"/>
  <c r="C326" i="1"/>
  <c r="D326" i="1" s="1"/>
  <c r="C327" i="1"/>
  <c r="D327" i="1" s="1"/>
  <c r="C328" i="1"/>
  <c r="D328" i="1" s="1"/>
  <c r="C329" i="1"/>
  <c r="D329" i="1" s="1"/>
  <c r="C330" i="1"/>
  <c r="D330" i="1" s="1"/>
  <c r="C331" i="1"/>
  <c r="D331" i="1" s="1"/>
  <c r="C332" i="1"/>
  <c r="D332" i="1" s="1"/>
  <c r="C333" i="1"/>
  <c r="D333" i="1" s="1"/>
  <c r="C334" i="1"/>
  <c r="D334" i="1" s="1"/>
  <c r="C335" i="1"/>
  <c r="D335" i="1" s="1"/>
  <c r="C336" i="1"/>
  <c r="D336" i="1" s="1"/>
  <c r="C337" i="1"/>
  <c r="D337" i="1" s="1"/>
  <c r="C338" i="1"/>
  <c r="D338" i="1" s="1"/>
  <c r="C339" i="1"/>
  <c r="D339" i="1" s="1"/>
  <c r="C340" i="1"/>
  <c r="D340" i="1" s="1"/>
  <c r="C341" i="1"/>
  <c r="D341" i="1" s="1"/>
  <c r="C342" i="1"/>
  <c r="D342" i="1" s="1"/>
  <c r="C343" i="1"/>
  <c r="D343" i="1" s="1"/>
  <c r="C344" i="1"/>
  <c r="D344" i="1" s="1"/>
  <c r="C345" i="1"/>
  <c r="D345" i="1" s="1"/>
  <c r="C346" i="1"/>
  <c r="D346" i="1" s="1"/>
  <c r="C347" i="1"/>
  <c r="D347" i="1" s="1"/>
  <c r="C348" i="1"/>
  <c r="D348" i="1" s="1"/>
  <c r="C349" i="1"/>
  <c r="D349" i="1" s="1"/>
  <c r="C350" i="1"/>
  <c r="D350" i="1" s="1"/>
  <c r="C351" i="1"/>
  <c r="D351" i="1" s="1"/>
  <c r="C352" i="1"/>
  <c r="D352" i="1" s="1"/>
  <c r="C353" i="1"/>
  <c r="D353" i="1" s="1"/>
  <c r="C354" i="1"/>
  <c r="D354" i="1" s="1"/>
  <c r="C355" i="1"/>
  <c r="D355" i="1" s="1"/>
  <c r="C356" i="1"/>
  <c r="D356" i="1" s="1"/>
  <c r="C357" i="1"/>
  <c r="D357" i="1" s="1"/>
  <c r="C358" i="1"/>
  <c r="D358" i="1" s="1"/>
  <c r="C359" i="1"/>
  <c r="D359" i="1" s="1"/>
  <c r="C360" i="1"/>
  <c r="D360" i="1" s="1"/>
  <c r="C361" i="1"/>
  <c r="D361" i="1" s="1"/>
  <c r="C362" i="1"/>
  <c r="D362" i="1" s="1"/>
  <c r="C363" i="1"/>
  <c r="D363" i="1" s="1"/>
  <c r="C364" i="1"/>
  <c r="D364" i="1" s="1"/>
  <c r="C365" i="1"/>
  <c r="D365" i="1" s="1"/>
  <c r="C366" i="1"/>
  <c r="D366" i="1" s="1"/>
  <c r="C367" i="1"/>
  <c r="D367" i="1" s="1"/>
  <c r="C368" i="1"/>
  <c r="D368" i="1" s="1"/>
  <c r="C369" i="1"/>
  <c r="D369" i="1" s="1"/>
  <c r="C370" i="1"/>
  <c r="D370" i="1" s="1"/>
  <c r="C371" i="1"/>
  <c r="D371" i="1" s="1"/>
  <c r="C372" i="1"/>
  <c r="D372" i="1" s="1"/>
  <c r="C373" i="1"/>
  <c r="D373" i="1" s="1"/>
  <c r="C374" i="1"/>
  <c r="D374" i="1" s="1"/>
  <c r="C375" i="1"/>
  <c r="D375" i="1" s="1"/>
  <c r="C376" i="1"/>
  <c r="D376" i="1" s="1"/>
  <c r="C377" i="1"/>
  <c r="D377" i="1" s="1"/>
  <c r="C378" i="1"/>
  <c r="D378" i="1" s="1"/>
  <c r="C379" i="1"/>
  <c r="D379" i="1" s="1"/>
  <c r="C380" i="1"/>
  <c r="D380" i="1" s="1"/>
  <c r="C381" i="1"/>
  <c r="D381" i="1" s="1"/>
  <c r="C382" i="1"/>
  <c r="D382" i="1" s="1"/>
  <c r="C383" i="1"/>
  <c r="D383" i="1" s="1"/>
  <c r="C384" i="1"/>
  <c r="D384" i="1" s="1"/>
  <c r="C385" i="1"/>
  <c r="D385" i="1" s="1"/>
  <c r="C386" i="1"/>
  <c r="D386" i="1" s="1"/>
  <c r="C387" i="1"/>
  <c r="D387" i="1" s="1"/>
  <c r="C388" i="1"/>
  <c r="D388" i="1" s="1"/>
  <c r="C389" i="1"/>
  <c r="D389" i="1" s="1"/>
  <c r="C390" i="1"/>
  <c r="D390" i="1" s="1"/>
  <c r="C391" i="1"/>
  <c r="D391" i="1" s="1"/>
  <c r="C392" i="1"/>
  <c r="D392" i="1" s="1"/>
  <c r="C393" i="1"/>
  <c r="D393" i="1" s="1"/>
  <c r="C394" i="1"/>
  <c r="D394" i="1" s="1"/>
  <c r="C395" i="1"/>
  <c r="D395" i="1" s="1"/>
  <c r="C396" i="1"/>
  <c r="D396" i="1" s="1"/>
  <c r="C397" i="1"/>
  <c r="D397" i="1" s="1"/>
  <c r="C398" i="1"/>
  <c r="D398" i="1" s="1"/>
  <c r="C399" i="1"/>
  <c r="D399" i="1" s="1"/>
  <c r="C400" i="1"/>
  <c r="D400" i="1" s="1"/>
  <c r="C401" i="1"/>
  <c r="D401" i="1" s="1"/>
  <c r="C402" i="1"/>
  <c r="D402" i="1" s="1"/>
  <c r="C403" i="1"/>
  <c r="D403" i="1" s="1"/>
  <c r="C404" i="1"/>
  <c r="D404" i="1" s="1"/>
  <c r="C405" i="1"/>
  <c r="D405" i="1" s="1"/>
  <c r="C406" i="1"/>
  <c r="D406" i="1" s="1"/>
  <c r="C407" i="1"/>
  <c r="D407" i="1" s="1"/>
  <c r="C408" i="1"/>
  <c r="D408" i="1" s="1"/>
  <c r="C409" i="1"/>
  <c r="D409" i="1" s="1"/>
  <c r="C410" i="1"/>
  <c r="D410" i="1" s="1"/>
  <c r="C411" i="1"/>
  <c r="D411" i="1" s="1"/>
  <c r="C412" i="1"/>
  <c r="D412" i="1" s="1"/>
  <c r="C413" i="1"/>
  <c r="D413" i="1" s="1"/>
  <c r="C414" i="1"/>
  <c r="D414" i="1" s="1"/>
  <c r="C415" i="1"/>
  <c r="D415" i="1" s="1"/>
  <c r="C416" i="1"/>
  <c r="D416" i="1" s="1"/>
  <c r="C417" i="1"/>
  <c r="D417" i="1" s="1"/>
  <c r="C418" i="1"/>
  <c r="D418" i="1" s="1"/>
  <c r="C419" i="1"/>
  <c r="D419" i="1" s="1"/>
  <c r="C420" i="1"/>
  <c r="D420" i="1" s="1"/>
  <c r="C421" i="1"/>
  <c r="D421" i="1" s="1"/>
  <c r="C422" i="1"/>
  <c r="D422" i="1" s="1"/>
  <c r="C423" i="1"/>
  <c r="D423" i="1" s="1"/>
  <c r="C424" i="1"/>
  <c r="D424" i="1" s="1"/>
  <c r="C425" i="1"/>
  <c r="D425" i="1" s="1"/>
  <c r="C426" i="1"/>
  <c r="D426" i="1" s="1"/>
  <c r="C427" i="1"/>
  <c r="D427" i="1" s="1"/>
  <c r="C428" i="1"/>
  <c r="D428" i="1" s="1"/>
  <c r="C429" i="1"/>
  <c r="D429" i="1" s="1"/>
  <c r="C430" i="1"/>
  <c r="D430" i="1" s="1"/>
  <c r="C431" i="1"/>
  <c r="D431" i="1" s="1"/>
  <c r="C432" i="1"/>
  <c r="D432" i="1" s="1"/>
  <c r="C433" i="1"/>
  <c r="D433" i="1" s="1"/>
  <c r="C434" i="1"/>
  <c r="D434" i="1" s="1"/>
  <c r="C435" i="1"/>
  <c r="D435" i="1" s="1"/>
  <c r="C436" i="1"/>
  <c r="D436" i="1" s="1"/>
  <c r="C437" i="1"/>
  <c r="D437" i="1" s="1"/>
  <c r="C438" i="1"/>
  <c r="D438" i="1" s="1"/>
  <c r="C439" i="1"/>
  <c r="D439" i="1" s="1"/>
  <c r="C440" i="1"/>
  <c r="D440" i="1" s="1"/>
  <c r="C441" i="1"/>
  <c r="D441" i="1" s="1"/>
  <c r="C442" i="1"/>
  <c r="D442" i="1" s="1"/>
  <c r="C443" i="1"/>
  <c r="D443" i="1" s="1"/>
  <c r="C444" i="1"/>
  <c r="D444" i="1" s="1"/>
  <c r="C445" i="1"/>
  <c r="D445" i="1" s="1"/>
  <c r="C446" i="1"/>
  <c r="D446" i="1" s="1"/>
  <c r="C447" i="1"/>
  <c r="D447" i="1" s="1"/>
  <c r="C448" i="1"/>
  <c r="D448" i="1" s="1"/>
  <c r="C449" i="1"/>
  <c r="D449" i="1" s="1"/>
  <c r="C450" i="1"/>
  <c r="D450" i="1" s="1"/>
  <c r="C451" i="1"/>
  <c r="D451" i="1" s="1"/>
  <c r="C452" i="1"/>
  <c r="D452" i="1" s="1"/>
  <c r="C453" i="1"/>
  <c r="D453" i="1" s="1"/>
  <c r="C454" i="1"/>
  <c r="D454" i="1" s="1"/>
  <c r="C455" i="1"/>
  <c r="D455" i="1" s="1"/>
  <c r="C456" i="1"/>
  <c r="D456" i="1" s="1"/>
  <c r="C457" i="1"/>
  <c r="D457" i="1" s="1"/>
  <c r="C458" i="1"/>
  <c r="D458" i="1" s="1"/>
  <c r="C459" i="1"/>
  <c r="D459" i="1" s="1"/>
  <c r="C460" i="1"/>
  <c r="D460" i="1" s="1"/>
  <c r="C461" i="1"/>
  <c r="D461" i="1" s="1"/>
  <c r="C462" i="1"/>
  <c r="D462" i="1" s="1"/>
  <c r="C463" i="1"/>
  <c r="D463" i="1" s="1"/>
  <c r="C464" i="1"/>
  <c r="D464" i="1" s="1"/>
  <c r="C465" i="1"/>
  <c r="D465" i="1" s="1"/>
  <c r="C466" i="1"/>
  <c r="D466" i="1" s="1"/>
  <c r="C467" i="1"/>
  <c r="D467" i="1" s="1"/>
  <c r="C468" i="1"/>
  <c r="D468" i="1" s="1"/>
  <c r="C469" i="1"/>
  <c r="D469" i="1" s="1"/>
  <c r="C470" i="1"/>
  <c r="D470" i="1" s="1"/>
  <c r="C471" i="1"/>
  <c r="D471" i="1" s="1"/>
  <c r="C472" i="1"/>
  <c r="D472" i="1" s="1"/>
  <c r="C473" i="1"/>
  <c r="D473" i="1" s="1"/>
  <c r="C474" i="1"/>
  <c r="D474" i="1" s="1"/>
  <c r="C475" i="1"/>
  <c r="D475" i="1" s="1"/>
  <c r="C476" i="1"/>
  <c r="D476" i="1" s="1"/>
  <c r="C477" i="1"/>
  <c r="D477" i="1" s="1"/>
  <c r="C478" i="1"/>
  <c r="D478" i="1" s="1"/>
  <c r="C479" i="1"/>
  <c r="D479" i="1" s="1"/>
  <c r="C480" i="1"/>
  <c r="D480" i="1" s="1"/>
  <c r="C481" i="1"/>
  <c r="D481" i="1" s="1"/>
  <c r="C482" i="1"/>
  <c r="D482" i="1" s="1"/>
  <c r="C483" i="1"/>
  <c r="D483" i="1" s="1"/>
  <c r="C484" i="1"/>
  <c r="D484" i="1" s="1"/>
  <c r="C485" i="1"/>
  <c r="D485" i="1" s="1"/>
  <c r="C486" i="1"/>
  <c r="D486" i="1" s="1"/>
  <c r="C487" i="1"/>
  <c r="D487" i="1" s="1"/>
  <c r="C488" i="1"/>
  <c r="D488" i="1" s="1"/>
  <c r="C489" i="1"/>
  <c r="D489" i="1" s="1"/>
  <c r="C490" i="1"/>
  <c r="D490" i="1" s="1"/>
  <c r="C491" i="1"/>
  <c r="D491" i="1" s="1"/>
  <c r="C492" i="1"/>
  <c r="D492" i="1" s="1"/>
  <c r="C493" i="1"/>
  <c r="D493" i="1" s="1"/>
  <c r="C494" i="1"/>
  <c r="D494" i="1" s="1"/>
  <c r="C495" i="1"/>
  <c r="D495" i="1" s="1"/>
  <c r="C496" i="1"/>
  <c r="D496" i="1" s="1"/>
  <c r="C497" i="1"/>
  <c r="D497" i="1" s="1"/>
  <c r="C498" i="1"/>
  <c r="D498" i="1" s="1"/>
  <c r="C499" i="1"/>
  <c r="D499" i="1" s="1"/>
  <c r="C500" i="1"/>
  <c r="D500" i="1" s="1"/>
  <c r="C501" i="1"/>
  <c r="D501" i="1" s="1"/>
  <c r="C2" i="1"/>
  <c r="D2" i="1" s="1"/>
</calcChain>
</file>

<file path=xl/sharedStrings.xml><?xml version="1.0" encoding="utf-8"?>
<sst xmlns="http://schemas.openxmlformats.org/spreadsheetml/2006/main" count="4070" uniqueCount="1070">
  <si>
    <t>Order_ID</t>
  </si>
  <si>
    <t>Order_Time</t>
  </si>
  <si>
    <t>Customer_ID</t>
  </si>
  <si>
    <t>Area</t>
  </si>
  <si>
    <t>Product_Name</t>
  </si>
  <si>
    <t>Category</t>
  </si>
  <si>
    <t>Quantity</t>
  </si>
  <si>
    <t>Price_Per_Unit</t>
  </si>
  <si>
    <t>Total_Product_Value</t>
  </si>
  <si>
    <t>Discount_Applied</t>
  </si>
  <si>
    <t>Final_Payable_Amount</t>
  </si>
  <si>
    <t>Payment_Mode</t>
  </si>
  <si>
    <t>Delivery_Time_Minutes</t>
  </si>
  <si>
    <t>Delivery_Status</t>
  </si>
  <si>
    <t>Customer_Rating</t>
  </si>
  <si>
    <t>C001</t>
  </si>
  <si>
    <t>Gachibowli</t>
  </si>
  <si>
    <t>Curd</t>
  </si>
  <si>
    <t>Dairy</t>
  </si>
  <si>
    <t>Wallet</t>
  </si>
  <si>
    <t>Delivered</t>
  </si>
  <si>
    <t>ORD1002</t>
  </si>
  <si>
    <t>C002</t>
  </si>
  <si>
    <t>Dwarka</t>
  </si>
  <si>
    <t>Banana</t>
  </si>
  <si>
    <t>Fruits</t>
  </si>
  <si>
    <t>ORD1003</t>
  </si>
  <si>
    <t>C003</t>
  </si>
  <si>
    <t>Bangalore</t>
  </si>
  <si>
    <t>Velachery</t>
  </si>
  <si>
    <t>Milk 1L</t>
  </si>
  <si>
    <t>Late</t>
  </si>
  <si>
    <t>ORD1004</t>
  </si>
  <si>
    <t>C004</t>
  </si>
  <si>
    <t>Pune</t>
  </si>
  <si>
    <t>Andheri</t>
  </si>
  <si>
    <t>Bread</t>
  </si>
  <si>
    <t>Bakery</t>
  </si>
  <si>
    <t>Card</t>
  </si>
  <si>
    <t>ORD1005</t>
  </si>
  <si>
    <t>C005</t>
  </si>
  <si>
    <t>Hinjewadi</t>
  </si>
  <si>
    <t>Apple</t>
  </si>
  <si>
    <t>ORD1006</t>
  </si>
  <si>
    <t>C006</t>
  </si>
  <si>
    <t>Delhi</t>
  </si>
  <si>
    <t>ORD1007</t>
  </si>
  <si>
    <t>C007</t>
  </si>
  <si>
    <t>Hyderabad</t>
  </si>
  <si>
    <t>ORD1008</t>
  </si>
  <si>
    <t>C008</t>
  </si>
  <si>
    <t>Paneer</t>
  </si>
  <si>
    <t>ORD1009</t>
  </si>
  <si>
    <t>C009</t>
  </si>
  <si>
    <t>Chennai</t>
  </si>
  <si>
    <t>Whitefield</t>
  </si>
  <si>
    <t>ORD1010</t>
  </si>
  <si>
    <t>C010</t>
  </si>
  <si>
    <t>ORD1011</t>
  </si>
  <si>
    <t>C011</t>
  </si>
  <si>
    <t>ORD1012</t>
  </si>
  <si>
    <t>C012</t>
  </si>
  <si>
    <t>ORD1013</t>
  </si>
  <si>
    <t>C013</t>
  </si>
  <si>
    <t>Kukatpally</t>
  </si>
  <si>
    <t>ORD1014</t>
  </si>
  <si>
    <t>C014</t>
  </si>
  <si>
    <t>ORD1015</t>
  </si>
  <si>
    <t>C015</t>
  </si>
  <si>
    <t>ORD1016</t>
  </si>
  <si>
    <t>C016</t>
  </si>
  <si>
    <t>ORD1017</t>
  </si>
  <si>
    <t>C017</t>
  </si>
  <si>
    <t>Rohini</t>
  </si>
  <si>
    <t>Potato</t>
  </si>
  <si>
    <t>Vegetables</t>
  </si>
  <si>
    <t>ORD1018</t>
  </si>
  <si>
    <t>C018</t>
  </si>
  <si>
    <t>ORD1019</t>
  </si>
  <si>
    <t>C019</t>
  </si>
  <si>
    <t>ORD1020</t>
  </si>
  <si>
    <t>C020</t>
  </si>
  <si>
    <t>ORD1021</t>
  </si>
  <si>
    <t>C021</t>
  </si>
  <si>
    <t>Mumbai</t>
  </si>
  <si>
    <t>ORD1022</t>
  </si>
  <si>
    <t>C022</t>
  </si>
  <si>
    <t>Rice 5kg</t>
  </si>
  <si>
    <t>Grocery</t>
  </si>
  <si>
    <t>ORD1023</t>
  </si>
  <si>
    <t>C023</t>
  </si>
  <si>
    <t>ORD1024</t>
  </si>
  <si>
    <t>C024</t>
  </si>
  <si>
    <t>ORD1025</t>
  </si>
  <si>
    <t>C025</t>
  </si>
  <si>
    <t>ORD1026</t>
  </si>
  <si>
    <t>C026</t>
  </si>
  <si>
    <t>ORD1027</t>
  </si>
  <si>
    <t>C027</t>
  </si>
  <si>
    <t>Chips</t>
  </si>
  <si>
    <t>Snacks</t>
  </si>
  <si>
    <t>ORD1028</t>
  </si>
  <si>
    <t>C028</t>
  </si>
  <si>
    <t>ORD1029</t>
  </si>
  <si>
    <t>C029</t>
  </si>
  <si>
    <t>ORD1030</t>
  </si>
  <si>
    <t>C030</t>
  </si>
  <si>
    <t>ORD1031</t>
  </si>
  <si>
    <t>C031</t>
  </si>
  <si>
    <t>ORD1032</t>
  </si>
  <si>
    <t>C032</t>
  </si>
  <si>
    <t>ORD1033</t>
  </si>
  <si>
    <t>C033</t>
  </si>
  <si>
    <t>ORD1034</t>
  </si>
  <si>
    <t>C034</t>
  </si>
  <si>
    <t>ORD1035</t>
  </si>
  <si>
    <t>C035</t>
  </si>
  <si>
    <t>ORD1036</t>
  </si>
  <si>
    <t>C036</t>
  </si>
  <si>
    <t>ORD1037</t>
  </si>
  <si>
    <t>C037</t>
  </si>
  <si>
    <t>ORD1038</t>
  </si>
  <si>
    <t>C038</t>
  </si>
  <si>
    <t>ORD1039</t>
  </si>
  <si>
    <t>C039</t>
  </si>
  <si>
    <t>ORD1040</t>
  </si>
  <si>
    <t>C040</t>
  </si>
  <si>
    <t>ORD1041</t>
  </si>
  <si>
    <t>C041</t>
  </si>
  <si>
    <t>ORD1042</t>
  </si>
  <si>
    <t>C042</t>
  </si>
  <si>
    <t>ORD1043</t>
  </si>
  <si>
    <t>C043</t>
  </si>
  <si>
    <t>ORD1044</t>
  </si>
  <si>
    <t>C044</t>
  </si>
  <si>
    <t>ORD1045</t>
  </si>
  <si>
    <t>C045</t>
  </si>
  <si>
    <t>ORD1046</t>
  </si>
  <si>
    <t>C046</t>
  </si>
  <si>
    <t>ORD1047</t>
  </si>
  <si>
    <t>C047</t>
  </si>
  <si>
    <t>ORD1048</t>
  </si>
  <si>
    <t>C048</t>
  </si>
  <si>
    <t>ORD1049</t>
  </si>
  <si>
    <t>C049</t>
  </si>
  <si>
    <t>ORD1050</t>
  </si>
  <si>
    <t>C050</t>
  </si>
  <si>
    <t>ORD1051</t>
  </si>
  <si>
    <t>C051</t>
  </si>
  <si>
    <t>ORD1052</t>
  </si>
  <si>
    <t>C052</t>
  </si>
  <si>
    <t>ORD1053</t>
  </si>
  <si>
    <t>C053</t>
  </si>
  <si>
    <t>ORD1054</t>
  </si>
  <si>
    <t>C054</t>
  </si>
  <si>
    <t>ORD1055</t>
  </si>
  <si>
    <t>C055</t>
  </si>
  <si>
    <t>ORD1056</t>
  </si>
  <si>
    <t>C056</t>
  </si>
  <si>
    <t>ORD1057</t>
  </si>
  <si>
    <t>C057</t>
  </si>
  <si>
    <t>ORD1058</t>
  </si>
  <si>
    <t>C058</t>
  </si>
  <si>
    <t>ORD1059</t>
  </si>
  <si>
    <t>C059</t>
  </si>
  <si>
    <t>ORD1060</t>
  </si>
  <si>
    <t>C060</t>
  </si>
  <si>
    <t>ORD1061</t>
  </si>
  <si>
    <t>C061</t>
  </si>
  <si>
    <t>ORD1062</t>
  </si>
  <si>
    <t>C062</t>
  </si>
  <si>
    <t>ORD1063</t>
  </si>
  <si>
    <t>C063</t>
  </si>
  <si>
    <t>ORD1064</t>
  </si>
  <si>
    <t>C064</t>
  </si>
  <si>
    <t>ORD1065</t>
  </si>
  <si>
    <t>C065</t>
  </si>
  <si>
    <t>ORD1066</t>
  </si>
  <si>
    <t>C066</t>
  </si>
  <si>
    <t>ORD1067</t>
  </si>
  <si>
    <t>C067</t>
  </si>
  <si>
    <t>ORD1068</t>
  </si>
  <si>
    <t>C068</t>
  </si>
  <si>
    <t>ORD1069</t>
  </si>
  <si>
    <t>C069</t>
  </si>
  <si>
    <t>ORD1070</t>
  </si>
  <si>
    <t>C070</t>
  </si>
  <si>
    <t>ORD1071</t>
  </si>
  <si>
    <t>C071</t>
  </si>
  <si>
    <t>ORD1072</t>
  </si>
  <si>
    <t>C072</t>
  </si>
  <si>
    <t>ORD1073</t>
  </si>
  <si>
    <t>C073</t>
  </si>
  <si>
    <t>ORD1074</t>
  </si>
  <si>
    <t>C074</t>
  </si>
  <si>
    <t>ORD1075</t>
  </si>
  <si>
    <t>C075</t>
  </si>
  <si>
    <t>ORD1076</t>
  </si>
  <si>
    <t>C076</t>
  </si>
  <si>
    <t>ORD1077</t>
  </si>
  <si>
    <t>C077</t>
  </si>
  <si>
    <t>ORD1078</t>
  </si>
  <si>
    <t>C078</t>
  </si>
  <si>
    <t>ORD1079</t>
  </si>
  <si>
    <t>C079</t>
  </si>
  <si>
    <t>ORD1080</t>
  </si>
  <si>
    <t>C080</t>
  </si>
  <si>
    <t>ORD1081</t>
  </si>
  <si>
    <t>C081</t>
  </si>
  <si>
    <t>ORD1082</t>
  </si>
  <si>
    <t>C082</t>
  </si>
  <si>
    <t>ORD1083</t>
  </si>
  <si>
    <t>C083</t>
  </si>
  <si>
    <t>ORD1084</t>
  </si>
  <si>
    <t>C084</t>
  </si>
  <si>
    <t>ORD1085</t>
  </si>
  <si>
    <t>C085</t>
  </si>
  <si>
    <t>ORD1086</t>
  </si>
  <si>
    <t>C086</t>
  </si>
  <si>
    <t>ORD1087</t>
  </si>
  <si>
    <t>C087</t>
  </si>
  <si>
    <t>ORD1088</t>
  </si>
  <si>
    <t>C088</t>
  </si>
  <si>
    <t>ORD1089</t>
  </si>
  <si>
    <t>C089</t>
  </si>
  <si>
    <t>ORD1090</t>
  </si>
  <si>
    <t>C090</t>
  </si>
  <si>
    <t>ORD1091</t>
  </si>
  <si>
    <t>C091</t>
  </si>
  <si>
    <t>ORD1092</t>
  </si>
  <si>
    <t>C092</t>
  </si>
  <si>
    <t>ORD1093</t>
  </si>
  <si>
    <t>C093</t>
  </si>
  <si>
    <t>ORD1094</t>
  </si>
  <si>
    <t>C094</t>
  </si>
  <si>
    <t>ORD1095</t>
  </si>
  <si>
    <t>C095</t>
  </si>
  <si>
    <t>ORD1096</t>
  </si>
  <si>
    <t>C096</t>
  </si>
  <si>
    <t>ORD1097</t>
  </si>
  <si>
    <t>C097</t>
  </si>
  <si>
    <t>ORD1098</t>
  </si>
  <si>
    <t>C098</t>
  </si>
  <si>
    <t>ORD1099</t>
  </si>
  <si>
    <t>C099</t>
  </si>
  <si>
    <t>ORD1100</t>
  </si>
  <si>
    <t>C100</t>
  </si>
  <si>
    <t>ORD1101</t>
  </si>
  <si>
    <t>C101</t>
  </si>
  <si>
    <t>ORD1102</t>
  </si>
  <si>
    <t>C102</t>
  </si>
  <si>
    <t>ORD1103</t>
  </si>
  <si>
    <t>C103</t>
  </si>
  <si>
    <t>ORD1104</t>
  </si>
  <si>
    <t>C104</t>
  </si>
  <si>
    <t>ORD1105</t>
  </si>
  <si>
    <t>C105</t>
  </si>
  <si>
    <t>ORD1106</t>
  </si>
  <si>
    <t>C106</t>
  </si>
  <si>
    <t>ORD1107</t>
  </si>
  <si>
    <t>C107</t>
  </si>
  <si>
    <t>ORD1108</t>
  </si>
  <si>
    <t>C108</t>
  </si>
  <si>
    <t>ORD1109</t>
  </si>
  <si>
    <t>C109</t>
  </si>
  <si>
    <t>ORD1110</t>
  </si>
  <si>
    <t>C110</t>
  </si>
  <si>
    <t>ORD1111</t>
  </si>
  <si>
    <t>C111</t>
  </si>
  <si>
    <t>ORD1112</t>
  </si>
  <si>
    <t>C112</t>
  </si>
  <si>
    <t>ORD1113</t>
  </si>
  <si>
    <t>C113</t>
  </si>
  <si>
    <t>ORD1114</t>
  </si>
  <si>
    <t>C114</t>
  </si>
  <si>
    <t>ORD1115</t>
  </si>
  <si>
    <t>C115</t>
  </si>
  <si>
    <t>ORD1116</t>
  </si>
  <si>
    <t>C116</t>
  </si>
  <si>
    <t>ORD1117</t>
  </si>
  <si>
    <t>C117</t>
  </si>
  <si>
    <t>ORD1118</t>
  </si>
  <si>
    <t>C118</t>
  </si>
  <si>
    <t>ORD1119</t>
  </si>
  <si>
    <t>C119</t>
  </si>
  <si>
    <t>ORD1120</t>
  </si>
  <si>
    <t>C120</t>
  </si>
  <si>
    <t>ORD1121</t>
  </si>
  <si>
    <t>C121</t>
  </si>
  <si>
    <t>ORD1122</t>
  </si>
  <si>
    <t>C122</t>
  </si>
  <si>
    <t>ORD1123</t>
  </si>
  <si>
    <t>C123</t>
  </si>
  <si>
    <t>ORD1124</t>
  </si>
  <si>
    <t>C124</t>
  </si>
  <si>
    <t>ORD1125</t>
  </si>
  <si>
    <t>C125</t>
  </si>
  <si>
    <t>ORD1126</t>
  </si>
  <si>
    <t>C126</t>
  </si>
  <si>
    <t>ORD1127</t>
  </si>
  <si>
    <t>C127</t>
  </si>
  <si>
    <t>ORD1128</t>
  </si>
  <si>
    <t>C128</t>
  </si>
  <si>
    <t>ORD1129</t>
  </si>
  <si>
    <t>C129</t>
  </si>
  <si>
    <t>ORD1130</t>
  </si>
  <si>
    <t>C130</t>
  </si>
  <si>
    <t>ORD1131</t>
  </si>
  <si>
    <t>C131</t>
  </si>
  <si>
    <t>ORD1132</t>
  </si>
  <si>
    <t>C132</t>
  </si>
  <si>
    <t>ORD1133</t>
  </si>
  <si>
    <t>C133</t>
  </si>
  <si>
    <t>ORD1134</t>
  </si>
  <si>
    <t>C134</t>
  </si>
  <si>
    <t>ORD1135</t>
  </si>
  <si>
    <t>C135</t>
  </si>
  <si>
    <t>ORD1136</t>
  </si>
  <si>
    <t>C136</t>
  </si>
  <si>
    <t>ORD1137</t>
  </si>
  <si>
    <t>C137</t>
  </si>
  <si>
    <t>ORD1138</t>
  </si>
  <si>
    <t>C138</t>
  </si>
  <si>
    <t>ORD1139</t>
  </si>
  <si>
    <t>C139</t>
  </si>
  <si>
    <t>ORD1140</t>
  </si>
  <si>
    <t>C140</t>
  </si>
  <si>
    <t>ORD1141</t>
  </si>
  <si>
    <t>C141</t>
  </si>
  <si>
    <t>ORD1142</t>
  </si>
  <si>
    <t>C142</t>
  </si>
  <si>
    <t>ORD1143</t>
  </si>
  <si>
    <t>C143</t>
  </si>
  <si>
    <t>ORD1144</t>
  </si>
  <si>
    <t>C144</t>
  </si>
  <si>
    <t>ORD1145</t>
  </si>
  <si>
    <t>C145</t>
  </si>
  <si>
    <t>ORD1146</t>
  </si>
  <si>
    <t>C146</t>
  </si>
  <si>
    <t>ORD1147</t>
  </si>
  <si>
    <t>C147</t>
  </si>
  <si>
    <t>ORD1148</t>
  </si>
  <si>
    <t>C148</t>
  </si>
  <si>
    <t>ORD1149</t>
  </si>
  <si>
    <t>C149</t>
  </si>
  <si>
    <t>ORD1150</t>
  </si>
  <si>
    <t>C150</t>
  </si>
  <si>
    <t>ORD1151</t>
  </si>
  <si>
    <t>C151</t>
  </si>
  <si>
    <t>ORD1152</t>
  </si>
  <si>
    <t>C152</t>
  </si>
  <si>
    <t>ORD1153</t>
  </si>
  <si>
    <t>C153</t>
  </si>
  <si>
    <t>ORD1154</t>
  </si>
  <si>
    <t>C154</t>
  </si>
  <si>
    <t>ORD1155</t>
  </si>
  <si>
    <t>C155</t>
  </si>
  <si>
    <t>ORD1156</t>
  </si>
  <si>
    <t>C156</t>
  </si>
  <si>
    <t>ORD1157</t>
  </si>
  <si>
    <t>C157</t>
  </si>
  <si>
    <t>ORD1158</t>
  </si>
  <si>
    <t>C158</t>
  </si>
  <si>
    <t>ORD1159</t>
  </si>
  <si>
    <t>C159</t>
  </si>
  <si>
    <t>ORD1160</t>
  </si>
  <si>
    <t>C160</t>
  </si>
  <si>
    <t>ORD1161</t>
  </si>
  <si>
    <t>C161</t>
  </si>
  <si>
    <t>ORD1162</t>
  </si>
  <si>
    <t>C162</t>
  </si>
  <si>
    <t>ORD1163</t>
  </si>
  <si>
    <t>C163</t>
  </si>
  <si>
    <t>ORD1164</t>
  </si>
  <si>
    <t>C164</t>
  </si>
  <si>
    <t>ORD1165</t>
  </si>
  <si>
    <t>C165</t>
  </si>
  <si>
    <t>ORD1166</t>
  </si>
  <si>
    <t>C166</t>
  </si>
  <si>
    <t>ORD1167</t>
  </si>
  <si>
    <t>C167</t>
  </si>
  <si>
    <t>ORD1168</t>
  </si>
  <si>
    <t>C168</t>
  </si>
  <si>
    <t>ORD1169</t>
  </si>
  <si>
    <t>C169</t>
  </si>
  <si>
    <t>ORD1170</t>
  </si>
  <si>
    <t>C170</t>
  </si>
  <si>
    <t>ORD1171</t>
  </si>
  <si>
    <t>C171</t>
  </si>
  <si>
    <t>ORD1172</t>
  </si>
  <si>
    <t>C172</t>
  </si>
  <si>
    <t>ORD1173</t>
  </si>
  <si>
    <t>C173</t>
  </si>
  <si>
    <t>ORD1174</t>
  </si>
  <si>
    <t>C174</t>
  </si>
  <si>
    <t>ORD1175</t>
  </si>
  <si>
    <t>C175</t>
  </si>
  <si>
    <t>ORD1176</t>
  </si>
  <si>
    <t>C176</t>
  </si>
  <si>
    <t>ORD1177</t>
  </si>
  <si>
    <t>C177</t>
  </si>
  <si>
    <t>ORD1178</t>
  </si>
  <si>
    <t>C178</t>
  </si>
  <si>
    <t>ORD1179</t>
  </si>
  <si>
    <t>C179</t>
  </si>
  <si>
    <t>ORD1180</t>
  </si>
  <si>
    <t>C180</t>
  </si>
  <si>
    <t>ORD1181</t>
  </si>
  <si>
    <t>C181</t>
  </si>
  <si>
    <t>ORD1182</t>
  </si>
  <si>
    <t>C182</t>
  </si>
  <si>
    <t>ORD1183</t>
  </si>
  <si>
    <t>C183</t>
  </si>
  <si>
    <t>ORD1184</t>
  </si>
  <si>
    <t>C184</t>
  </si>
  <si>
    <t>ORD1185</t>
  </si>
  <si>
    <t>C185</t>
  </si>
  <si>
    <t>ORD1186</t>
  </si>
  <si>
    <t>C186</t>
  </si>
  <si>
    <t>ORD1187</t>
  </si>
  <si>
    <t>C187</t>
  </si>
  <si>
    <t>ORD1188</t>
  </si>
  <si>
    <t>C188</t>
  </si>
  <si>
    <t>ORD1189</t>
  </si>
  <si>
    <t>C189</t>
  </si>
  <si>
    <t>ORD1190</t>
  </si>
  <si>
    <t>C190</t>
  </si>
  <si>
    <t>ORD1191</t>
  </si>
  <si>
    <t>C191</t>
  </si>
  <si>
    <t>ORD1192</t>
  </si>
  <si>
    <t>C192</t>
  </si>
  <si>
    <t>ORD1193</t>
  </si>
  <si>
    <t>C193</t>
  </si>
  <si>
    <t>ORD1194</t>
  </si>
  <si>
    <t>C194</t>
  </si>
  <si>
    <t>ORD1195</t>
  </si>
  <si>
    <t>C195</t>
  </si>
  <si>
    <t>ORD1196</t>
  </si>
  <si>
    <t>C196</t>
  </si>
  <si>
    <t>ORD1197</t>
  </si>
  <si>
    <t>C197</t>
  </si>
  <si>
    <t>ORD1198</t>
  </si>
  <si>
    <t>C198</t>
  </si>
  <si>
    <t>ORD1199</t>
  </si>
  <si>
    <t>C199</t>
  </si>
  <si>
    <t>ORD1200</t>
  </si>
  <si>
    <t>C200</t>
  </si>
  <si>
    <t>ORD1201</t>
  </si>
  <si>
    <t>C201</t>
  </si>
  <si>
    <t>ORD1202</t>
  </si>
  <si>
    <t>C202</t>
  </si>
  <si>
    <t>ORD1203</t>
  </si>
  <si>
    <t>C203</t>
  </si>
  <si>
    <t>ORD1204</t>
  </si>
  <si>
    <t>C204</t>
  </si>
  <si>
    <t>ORD1205</t>
  </si>
  <si>
    <t>C205</t>
  </si>
  <si>
    <t>ORD1206</t>
  </si>
  <si>
    <t>C206</t>
  </si>
  <si>
    <t>ORD1207</t>
  </si>
  <si>
    <t>C207</t>
  </si>
  <si>
    <t>ORD1208</t>
  </si>
  <si>
    <t>C208</t>
  </si>
  <si>
    <t>ORD1209</t>
  </si>
  <si>
    <t>C209</t>
  </si>
  <si>
    <t>ORD1210</t>
  </si>
  <si>
    <t>C210</t>
  </si>
  <si>
    <t>ORD1211</t>
  </si>
  <si>
    <t>C211</t>
  </si>
  <si>
    <t>ORD1212</t>
  </si>
  <si>
    <t>C212</t>
  </si>
  <si>
    <t>ORD1213</t>
  </si>
  <si>
    <t>C213</t>
  </si>
  <si>
    <t>ORD1214</t>
  </si>
  <si>
    <t>C214</t>
  </si>
  <si>
    <t>ORD1215</t>
  </si>
  <si>
    <t>C215</t>
  </si>
  <si>
    <t>ORD1216</t>
  </si>
  <si>
    <t>C216</t>
  </si>
  <si>
    <t>ORD1217</t>
  </si>
  <si>
    <t>C217</t>
  </si>
  <si>
    <t>ORD1218</t>
  </si>
  <si>
    <t>C218</t>
  </si>
  <si>
    <t>ORD1219</t>
  </si>
  <si>
    <t>C219</t>
  </si>
  <si>
    <t>ORD1220</t>
  </si>
  <si>
    <t>C220</t>
  </si>
  <si>
    <t>ORD1221</t>
  </si>
  <si>
    <t>C221</t>
  </si>
  <si>
    <t>ORD1222</t>
  </si>
  <si>
    <t>C222</t>
  </si>
  <si>
    <t>ORD1223</t>
  </si>
  <si>
    <t>C223</t>
  </si>
  <si>
    <t>ORD1224</t>
  </si>
  <si>
    <t>C224</t>
  </si>
  <si>
    <t>ORD1225</t>
  </si>
  <si>
    <t>C225</t>
  </si>
  <si>
    <t>ORD1226</t>
  </si>
  <si>
    <t>C226</t>
  </si>
  <si>
    <t>ORD1227</t>
  </si>
  <si>
    <t>C227</t>
  </si>
  <si>
    <t>ORD1228</t>
  </si>
  <si>
    <t>C228</t>
  </si>
  <si>
    <t>ORD1229</t>
  </si>
  <si>
    <t>C229</t>
  </si>
  <si>
    <t>ORD1230</t>
  </si>
  <si>
    <t>C230</t>
  </si>
  <si>
    <t>ORD1231</t>
  </si>
  <si>
    <t>C231</t>
  </si>
  <si>
    <t>ORD1232</t>
  </si>
  <si>
    <t>C232</t>
  </si>
  <si>
    <t>ORD1233</t>
  </si>
  <si>
    <t>C233</t>
  </si>
  <si>
    <t>ORD1234</t>
  </si>
  <si>
    <t>C234</t>
  </si>
  <si>
    <t>ORD1235</t>
  </si>
  <si>
    <t>C235</t>
  </si>
  <si>
    <t>ORD1236</t>
  </si>
  <si>
    <t>C236</t>
  </si>
  <si>
    <t>ORD1237</t>
  </si>
  <si>
    <t>C237</t>
  </si>
  <si>
    <t>ORD1238</t>
  </si>
  <si>
    <t>C238</t>
  </si>
  <si>
    <t>ORD1239</t>
  </si>
  <si>
    <t>C239</t>
  </si>
  <si>
    <t>ORD1240</t>
  </si>
  <si>
    <t>C240</t>
  </si>
  <si>
    <t>ORD1241</t>
  </si>
  <si>
    <t>C241</t>
  </si>
  <si>
    <t>ORD1242</t>
  </si>
  <si>
    <t>C242</t>
  </si>
  <si>
    <t>ORD1243</t>
  </si>
  <si>
    <t>C243</t>
  </si>
  <si>
    <t>ORD1244</t>
  </si>
  <si>
    <t>C244</t>
  </si>
  <si>
    <t>ORD1245</t>
  </si>
  <si>
    <t>C245</t>
  </si>
  <si>
    <t>ORD1246</t>
  </si>
  <si>
    <t>C246</t>
  </si>
  <si>
    <t>ORD1247</t>
  </si>
  <si>
    <t>C247</t>
  </si>
  <si>
    <t>ORD1248</t>
  </si>
  <si>
    <t>C248</t>
  </si>
  <si>
    <t>ORD1249</t>
  </si>
  <si>
    <t>C249</t>
  </si>
  <si>
    <t>ORD1250</t>
  </si>
  <si>
    <t>C250</t>
  </si>
  <si>
    <t>ORD1251</t>
  </si>
  <si>
    <t>C251</t>
  </si>
  <si>
    <t>ORD1252</t>
  </si>
  <si>
    <t>C252</t>
  </si>
  <si>
    <t>ORD1253</t>
  </si>
  <si>
    <t>C253</t>
  </si>
  <si>
    <t>ORD1254</t>
  </si>
  <si>
    <t>C254</t>
  </si>
  <si>
    <t>ORD1255</t>
  </si>
  <si>
    <t>C255</t>
  </si>
  <si>
    <t>ORD1256</t>
  </si>
  <si>
    <t>C256</t>
  </si>
  <si>
    <t>ORD1257</t>
  </si>
  <si>
    <t>C257</t>
  </si>
  <si>
    <t>ORD1258</t>
  </si>
  <si>
    <t>C258</t>
  </si>
  <si>
    <t>ORD1259</t>
  </si>
  <si>
    <t>C259</t>
  </si>
  <si>
    <t>ORD1260</t>
  </si>
  <si>
    <t>C260</t>
  </si>
  <si>
    <t>ORD1261</t>
  </si>
  <si>
    <t>C261</t>
  </si>
  <si>
    <t>ORD1262</t>
  </si>
  <si>
    <t>C262</t>
  </si>
  <si>
    <t>ORD1263</t>
  </si>
  <si>
    <t>C263</t>
  </si>
  <si>
    <t>ORD1264</t>
  </si>
  <si>
    <t>C264</t>
  </si>
  <si>
    <t>ORD1265</t>
  </si>
  <si>
    <t>C265</t>
  </si>
  <si>
    <t>ORD1266</t>
  </si>
  <si>
    <t>C266</t>
  </si>
  <si>
    <t>ORD1267</t>
  </si>
  <si>
    <t>C267</t>
  </si>
  <si>
    <t>ORD1268</t>
  </si>
  <si>
    <t>C268</t>
  </si>
  <si>
    <t>ORD1269</t>
  </si>
  <si>
    <t>C269</t>
  </si>
  <si>
    <t>ORD1270</t>
  </si>
  <si>
    <t>C270</t>
  </si>
  <si>
    <t>ORD1271</t>
  </si>
  <si>
    <t>C271</t>
  </si>
  <si>
    <t>ORD1272</t>
  </si>
  <si>
    <t>C272</t>
  </si>
  <si>
    <t>ORD1273</t>
  </si>
  <si>
    <t>C273</t>
  </si>
  <si>
    <t>ORD1274</t>
  </si>
  <si>
    <t>C274</t>
  </si>
  <si>
    <t>ORD1275</t>
  </si>
  <si>
    <t>C275</t>
  </si>
  <si>
    <t>ORD1276</t>
  </si>
  <si>
    <t>C276</t>
  </si>
  <si>
    <t>ORD1277</t>
  </si>
  <si>
    <t>C277</t>
  </si>
  <si>
    <t>ORD1278</t>
  </si>
  <si>
    <t>C278</t>
  </si>
  <si>
    <t>ORD1279</t>
  </si>
  <si>
    <t>C279</t>
  </si>
  <si>
    <t>ORD1280</t>
  </si>
  <si>
    <t>C280</t>
  </si>
  <si>
    <t>ORD1281</t>
  </si>
  <si>
    <t>C281</t>
  </si>
  <si>
    <t>ORD1282</t>
  </si>
  <si>
    <t>C282</t>
  </si>
  <si>
    <t>ORD1283</t>
  </si>
  <si>
    <t>C283</t>
  </si>
  <si>
    <t>ORD1284</t>
  </si>
  <si>
    <t>C284</t>
  </si>
  <si>
    <t>ORD1285</t>
  </si>
  <si>
    <t>C285</t>
  </si>
  <si>
    <t>ORD1286</t>
  </si>
  <si>
    <t>C286</t>
  </si>
  <si>
    <t>ORD1287</t>
  </si>
  <si>
    <t>C287</t>
  </si>
  <si>
    <t>ORD1288</t>
  </si>
  <si>
    <t>C288</t>
  </si>
  <si>
    <t>ORD1289</t>
  </si>
  <si>
    <t>C289</t>
  </si>
  <si>
    <t>ORD1290</t>
  </si>
  <si>
    <t>C290</t>
  </si>
  <si>
    <t>ORD1291</t>
  </si>
  <si>
    <t>C291</t>
  </si>
  <si>
    <t>ORD1292</t>
  </si>
  <si>
    <t>C292</t>
  </si>
  <si>
    <t>ORD1293</t>
  </si>
  <si>
    <t>C293</t>
  </si>
  <si>
    <t>ORD1294</t>
  </si>
  <si>
    <t>C294</t>
  </si>
  <si>
    <t>ORD1295</t>
  </si>
  <si>
    <t>C295</t>
  </si>
  <si>
    <t>ORD1296</t>
  </si>
  <si>
    <t>C296</t>
  </si>
  <si>
    <t>ORD1297</t>
  </si>
  <si>
    <t>C297</t>
  </si>
  <si>
    <t>ORD1298</t>
  </si>
  <si>
    <t>C298</t>
  </si>
  <si>
    <t>ORD1299</t>
  </si>
  <si>
    <t>C299</t>
  </si>
  <si>
    <t>ORD1300</t>
  </si>
  <si>
    <t>C300</t>
  </si>
  <si>
    <t>ORD1301</t>
  </si>
  <si>
    <t>C301</t>
  </si>
  <si>
    <t>ORD1302</t>
  </si>
  <si>
    <t>C302</t>
  </si>
  <si>
    <t>ORD1303</t>
  </si>
  <si>
    <t>C303</t>
  </si>
  <si>
    <t>ORD1304</t>
  </si>
  <si>
    <t>C304</t>
  </si>
  <si>
    <t>ORD1305</t>
  </si>
  <si>
    <t>C305</t>
  </si>
  <si>
    <t>ORD1306</t>
  </si>
  <si>
    <t>C306</t>
  </si>
  <si>
    <t>ORD1307</t>
  </si>
  <si>
    <t>C307</t>
  </si>
  <si>
    <t>ORD1308</t>
  </si>
  <si>
    <t>C308</t>
  </si>
  <si>
    <t>ORD1309</t>
  </si>
  <si>
    <t>C309</t>
  </si>
  <si>
    <t>ORD1310</t>
  </si>
  <si>
    <t>C310</t>
  </si>
  <si>
    <t>ORD1311</t>
  </si>
  <si>
    <t>C311</t>
  </si>
  <si>
    <t>ORD1312</t>
  </si>
  <si>
    <t>C312</t>
  </si>
  <si>
    <t>ORD1313</t>
  </si>
  <si>
    <t>C313</t>
  </si>
  <si>
    <t>ORD1314</t>
  </si>
  <si>
    <t>C314</t>
  </si>
  <si>
    <t>ORD1315</t>
  </si>
  <si>
    <t>C315</t>
  </si>
  <si>
    <t>ORD1316</t>
  </si>
  <si>
    <t>C316</t>
  </si>
  <si>
    <t>ORD1317</t>
  </si>
  <si>
    <t>C317</t>
  </si>
  <si>
    <t>ORD1318</t>
  </si>
  <si>
    <t>C318</t>
  </si>
  <si>
    <t>ORD1319</t>
  </si>
  <si>
    <t>C319</t>
  </si>
  <si>
    <t>ORD1320</t>
  </si>
  <si>
    <t>C320</t>
  </si>
  <si>
    <t>ORD1321</t>
  </si>
  <si>
    <t>C321</t>
  </si>
  <si>
    <t>ORD1322</t>
  </si>
  <si>
    <t>C322</t>
  </si>
  <si>
    <t>ORD1323</t>
  </si>
  <si>
    <t>C323</t>
  </si>
  <si>
    <t>ORD1324</t>
  </si>
  <si>
    <t>C324</t>
  </si>
  <si>
    <t>ORD1325</t>
  </si>
  <si>
    <t>C325</t>
  </si>
  <si>
    <t>ORD1326</t>
  </si>
  <si>
    <t>C326</t>
  </si>
  <si>
    <t>ORD1327</t>
  </si>
  <si>
    <t>C327</t>
  </si>
  <si>
    <t>ORD1328</t>
  </si>
  <si>
    <t>C328</t>
  </si>
  <si>
    <t>ORD1329</t>
  </si>
  <si>
    <t>C329</t>
  </si>
  <si>
    <t>ORD1330</t>
  </si>
  <si>
    <t>C330</t>
  </si>
  <si>
    <t>ORD1331</t>
  </si>
  <si>
    <t>C331</t>
  </si>
  <si>
    <t>ORD1332</t>
  </si>
  <si>
    <t>C332</t>
  </si>
  <si>
    <t>ORD1333</t>
  </si>
  <si>
    <t>C333</t>
  </si>
  <si>
    <t>ORD1334</t>
  </si>
  <si>
    <t>C334</t>
  </si>
  <si>
    <t>ORD1335</t>
  </si>
  <si>
    <t>C335</t>
  </si>
  <si>
    <t>ORD1336</t>
  </si>
  <si>
    <t>C336</t>
  </si>
  <si>
    <t>ORD1337</t>
  </si>
  <si>
    <t>C337</t>
  </si>
  <si>
    <t>ORD1338</t>
  </si>
  <si>
    <t>C338</t>
  </si>
  <si>
    <t>ORD1339</t>
  </si>
  <si>
    <t>C339</t>
  </si>
  <si>
    <t>ORD1340</t>
  </si>
  <si>
    <t>C340</t>
  </si>
  <si>
    <t>ORD1341</t>
  </si>
  <si>
    <t>C341</t>
  </si>
  <si>
    <t>ORD1342</t>
  </si>
  <si>
    <t>C342</t>
  </si>
  <si>
    <t>ORD1343</t>
  </si>
  <si>
    <t>C343</t>
  </si>
  <si>
    <t>ORD1344</t>
  </si>
  <si>
    <t>C344</t>
  </si>
  <si>
    <t>ORD1345</t>
  </si>
  <si>
    <t>C345</t>
  </si>
  <si>
    <t>ORD1346</t>
  </si>
  <si>
    <t>C346</t>
  </si>
  <si>
    <t>ORD1347</t>
  </si>
  <si>
    <t>C347</t>
  </si>
  <si>
    <t>ORD1348</t>
  </si>
  <si>
    <t>C348</t>
  </si>
  <si>
    <t>ORD1349</t>
  </si>
  <si>
    <t>C349</t>
  </si>
  <si>
    <t>ORD1350</t>
  </si>
  <si>
    <t>C350</t>
  </si>
  <si>
    <t>ORD1351</t>
  </si>
  <si>
    <t>C351</t>
  </si>
  <si>
    <t>ORD1352</t>
  </si>
  <si>
    <t>C352</t>
  </si>
  <si>
    <t>ORD1353</t>
  </si>
  <si>
    <t>C353</t>
  </si>
  <si>
    <t>ORD1354</t>
  </si>
  <si>
    <t>C354</t>
  </si>
  <si>
    <t>ORD1355</t>
  </si>
  <si>
    <t>C355</t>
  </si>
  <si>
    <t>ORD1356</t>
  </si>
  <si>
    <t>C356</t>
  </si>
  <si>
    <t>ORD1357</t>
  </si>
  <si>
    <t>C357</t>
  </si>
  <si>
    <t>ORD1358</t>
  </si>
  <si>
    <t>C358</t>
  </si>
  <si>
    <t>ORD1359</t>
  </si>
  <si>
    <t>C359</t>
  </si>
  <si>
    <t>ORD1360</t>
  </si>
  <si>
    <t>C360</t>
  </si>
  <si>
    <t>ORD1361</t>
  </si>
  <si>
    <t>C361</t>
  </si>
  <si>
    <t>ORD1362</t>
  </si>
  <si>
    <t>C362</t>
  </si>
  <si>
    <t>ORD1363</t>
  </si>
  <si>
    <t>C363</t>
  </si>
  <si>
    <t>ORD1364</t>
  </si>
  <si>
    <t>C364</t>
  </si>
  <si>
    <t>ORD1365</t>
  </si>
  <si>
    <t>C365</t>
  </si>
  <si>
    <t>ORD1366</t>
  </si>
  <si>
    <t>C366</t>
  </si>
  <si>
    <t>ORD1367</t>
  </si>
  <si>
    <t>C367</t>
  </si>
  <si>
    <t>ORD1368</t>
  </si>
  <si>
    <t>C368</t>
  </si>
  <si>
    <t>ORD1369</t>
  </si>
  <si>
    <t>C369</t>
  </si>
  <si>
    <t>ORD1370</t>
  </si>
  <si>
    <t>C370</t>
  </si>
  <si>
    <t>ORD1371</t>
  </si>
  <si>
    <t>C371</t>
  </si>
  <si>
    <t>ORD1372</t>
  </si>
  <si>
    <t>C372</t>
  </si>
  <si>
    <t>ORD1373</t>
  </si>
  <si>
    <t>C373</t>
  </si>
  <si>
    <t>ORD1374</t>
  </si>
  <si>
    <t>C374</t>
  </si>
  <si>
    <t>ORD1375</t>
  </si>
  <si>
    <t>C375</t>
  </si>
  <si>
    <t>ORD1376</t>
  </si>
  <si>
    <t>C376</t>
  </si>
  <si>
    <t>ORD1377</t>
  </si>
  <si>
    <t>C377</t>
  </si>
  <si>
    <t>ORD1378</t>
  </si>
  <si>
    <t>C378</t>
  </si>
  <si>
    <t>ORD1379</t>
  </si>
  <si>
    <t>C379</t>
  </si>
  <si>
    <t>ORD1380</t>
  </si>
  <si>
    <t>C380</t>
  </si>
  <si>
    <t>ORD1381</t>
  </si>
  <si>
    <t>C381</t>
  </si>
  <si>
    <t>ORD1382</t>
  </si>
  <si>
    <t>C382</t>
  </si>
  <si>
    <t>ORD1383</t>
  </si>
  <si>
    <t>C383</t>
  </si>
  <si>
    <t>ORD1384</t>
  </si>
  <si>
    <t>C384</t>
  </si>
  <si>
    <t>ORD1385</t>
  </si>
  <si>
    <t>C385</t>
  </si>
  <si>
    <t>ORD1386</t>
  </si>
  <si>
    <t>C386</t>
  </si>
  <si>
    <t>ORD1387</t>
  </si>
  <si>
    <t>C387</t>
  </si>
  <si>
    <t>ORD1388</t>
  </si>
  <si>
    <t>C388</t>
  </si>
  <si>
    <t>ORD1389</t>
  </si>
  <si>
    <t>C389</t>
  </si>
  <si>
    <t>ORD1390</t>
  </si>
  <si>
    <t>C390</t>
  </si>
  <si>
    <t>ORD1391</t>
  </si>
  <si>
    <t>C391</t>
  </si>
  <si>
    <t>ORD1392</t>
  </si>
  <si>
    <t>C392</t>
  </si>
  <si>
    <t>ORD1393</t>
  </si>
  <si>
    <t>C393</t>
  </si>
  <si>
    <t>ORD1394</t>
  </si>
  <si>
    <t>C394</t>
  </si>
  <si>
    <t>ORD1395</t>
  </si>
  <si>
    <t>C395</t>
  </si>
  <si>
    <t>ORD1396</t>
  </si>
  <si>
    <t>C396</t>
  </si>
  <si>
    <t>ORD1397</t>
  </si>
  <si>
    <t>C397</t>
  </si>
  <si>
    <t>ORD1398</t>
  </si>
  <si>
    <t>C398</t>
  </si>
  <si>
    <t>ORD1399</t>
  </si>
  <si>
    <t>C399</t>
  </si>
  <si>
    <t>ORD1400</t>
  </si>
  <si>
    <t>C400</t>
  </si>
  <si>
    <t>ORD1401</t>
  </si>
  <si>
    <t>C401</t>
  </si>
  <si>
    <t>ORD1402</t>
  </si>
  <si>
    <t>C402</t>
  </si>
  <si>
    <t>ORD1403</t>
  </si>
  <si>
    <t>C403</t>
  </si>
  <si>
    <t>ORD1404</t>
  </si>
  <si>
    <t>C404</t>
  </si>
  <si>
    <t>ORD1405</t>
  </si>
  <si>
    <t>C405</t>
  </si>
  <si>
    <t>ORD1406</t>
  </si>
  <si>
    <t>C406</t>
  </si>
  <si>
    <t>ORD1407</t>
  </si>
  <si>
    <t>C407</t>
  </si>
  <si>
    <t>ORD1408</t>
  </si>
  <si>
    <t>C408</t>
  </si>
  <si>
    <t>ORD1409</t>
  </si>
  <si>
    <t>C409</t>
  </si>
  <si>
    <t>ORD1410</t>
  </si>
  <si>
    <t>C410</t>
  </si>
  <si>
    <t>ORD1411</t>
  </si>
  <si>
    <t>C411</t>
  </si>
  <si>
    <t>ORD1412</t>
  </si>
  <si>
    <t>C412</t>
  </si>
  <si>
    <t>ORD1413</t>
  </si>
  <si>
    <t>C413</t>
  </si>
  <si>
    <t>ORD1414</t>
  </si>
  <si>
    <t>C414</t>
  </si>
  <si>
    <t>ORD1415</t>
  </si>
  <si>
    <t>C415</t>
  </si>
  <si>
    <t>ORD1416</t>
  </si>
  <si>
    <t>C416</t>
  </si>
  <si>
    <t>ORD1417</t>
  </si>
  <si>
    <t>C417</t>
  </si>
  <si>
    <t>ORD1418</t>
  </si>
  <si>
    <t>C418</t>
  </si>
  <si>
    <t>ORD1419</t>
  </si>
  <si>
    <t>C419</t>
  </si>
  <si>
    <t>ORD1420</t>
  </si>
  <si>
    <t>C420</t>
  </si>
  <si>
    <t>ORD1421</t>
  </si>
  <si>
    <t>C421</t>
  </si>
  <si>
    <t>ORD1422</t>
  </si>
  <si>
    <t>C422</t>
  </si>
  <si>
    <t>ORD1423</t>
  </si>
  <si>
    <t>C423</t>
  </si>
  <si>
    <t>ORD1424</t>
  </si>
  <si>
    <t>C424</t>
  </si>
  <si>
    <t>ORD1425</t>
  </si>
  <si>
    <t>C425</t>
  </si>
  <si>
    <t>ORD1426</t>
  </si>
  <si>
    <t>C426</t>
  </si>
  <si>
    <t>ORD1427</t>
  </si>
  <si>
    <t>C427</t>
  </si>
  <si>
    <t>ORD1428</t>
  </si>
  <si>
    <t>C428</t>
  </si>
  <si>
    <t>ORD1429</t>
  </si>
  <si>
    <t>C429</t>
  </si>
  <si>
    <t>ORD1430</t>
  </si>
  <si>
    <t>C430</t>
  </si>
  <si>
    <t>ORD1431</t>
  </si>
  <si>
    <t>C431</t>
  </si>
  <si>
    <t>ORD1432</t>
  </si>
  <si>
    <t>C432</t>
  </si>
  <si>
    <t>ORD1433</t>
  </si>
  <si>
    <t>C433</t>
  </si>
  <si>
    <t>ORD1434</t>
  </si>
  <si>
    <t>C434</t>
  </si>
  <si>
    <t>ORD1435</t>
  </si>
  <si>
    <t>C435</t>
  </si>
  <si>
    <t>ORD1436</t>
  </si>
  <si>
    <t>C436</t>
  </si>
  <si>
    <t>ORD1437</t>
  </si>
  <si>
    <t>C437</t>
  </si>
  <si>
    <t>ORD1438</t>
  </si>
  <si>
    <t>C438</t>
  </si>
  <si>
    <t>ORD1439</t>
  </si>
  <si>
    <t>C439</t>
  </si>
  <si>
    <t>ORD1440</t>
  </si>
  <si>
    <t>C440</t>
  </si>
  <si>
    <t>ORD1441</t>
  </si>
  <si>
    <t>C441</t>
  </si>
  <si>
    <t>ORD1442</t>
  </si>
  <si>
    <t>C442</t>
  </si>
  <si>
    <t>ORD1443</t>
  </si>
  <si>
    <t>C443</t>
  </si>
  <si>
    <t>ORD1444</t>
  </si>
  <si>
    <t>C444</t>
  </si>
  <si>
    <t>ORD1445</t>
  </si>
  <si>
    <t>C445</t>
  </si>
  <si>
    <t>ORD1446</t>
  </si>
  <si>
    <t>C446</t>
  </si>
  <si>
    <t>ORD1447</t>
  </si>
  <si>
    <t>C447</t>
  </si>
  <si>
    <t>ORD1448</t>
  </si>
  <si>
    <t>C448</t>
  </si>
  <si>
    <t>ORD1449</t>
  </si>
  <si>
    <t>C449</t>
  </si>
  <si>
    <t>ORD1450</t>
  </si>
  <si>
    <t>C450</t>
  </si>
  <si>
    <t>ORD1451</t>
  </si>
  <si>
    <t>C451</t>
  </si>
  <si>
    <t>ORD1452</t>
  </si>
  <si>
    <t>C452</t>
  </si>
  <si>
    <t>ORD1453</t>
  </si>
  <si>
    <t>C453</t>
  </si>
  <si>
    <t>ORD1454</t>
  </si>
  <si>
    <t>C454</t>
  </si>
  <si>
    <t>ORD1455</t>
  </si>
  <si>
    <t>C455</t>
  </si>
  <si>
    <t>ORD1456</t>
  </si>
  <si>
    <t>C456</t>
  </si>
  <si>
    <t>ORD1457</t>
  </si>
  <si>
    <t>C457</t>
  </si>
  <si>
    <t>ORD1458</t>
  </si>
  <si>
    <t>C458</t>
  </si>
  <si>
    <t>ORD1459</t>
  </si>
  <si>
    <t>C459</t>
  </si>
  <si>
    <t>ORD1460</t>
  </si>
  <si>
    <t>C460</t>
  </si>
  <si>
    <t>ORD1461</t>
  </si>
  <si>
    <t>C461</t>
  </si>
  <si>
    <t>ORD1462</t>
  </si>
  <si>
    <t>C462</t>
  </si>
  <si>
    <t>ORD1463</t>
  </si>
  <si>
    <t>C463</t>
  </si>
  <si>
    <t>ORD1464</t>
  </si>
  <si>
    <t>C464</t>
  </si>
  <si>
    <t>ORD1465</t>
  </si>
  <si>
    <t>C465</t>
  </si>
  <si>
    <t>ORD1466</t>
  </si>
  <si>
    <t>C466</t>
  </si>
  <si>
    <t>ORD1467</t>
  </si>
  <si>
    <t>C467</t>
  </si>
  <si>
    <t>ORD1468</t>
  </si>
  <si>
    <t>C468</t>
  </si>
  <si>
    <t>ORD1469</t>
  </si>
  <si>
    <t>C469</t>
  </si>
  <si>
    <t>ORD1470</t>
  </si>
  <si>
    <t>C470</t>
  </si>
  <si>
    <t>ORD1471</t>
  </si>
  <si>
    <t>C471</t>
  </si>
  <si>
    <t>ORD1472</t>
  </si>
  <si>
    <t>C472</t>
  </si>
  <si>
    <t>ORD1473</t>
  </si>
  <si>
    <t>C473</t>
  </si>
  <si>
    <t>ORD1474</t>
  </si>
  <si>
    <t>C474</t>
  </si>
  <si>
    <t>ORD1475</t>
  </si>
  <si>
    <t>C475</t>
  </si>
  <si>
    <t>ORD1476</t>
  </si>
  <si>
    <t>C476</t>
  </si>
  <si>
    <t>ORD1477</t>
  </si>
  <si>
    <t>C477</t>
  </si>
  <si>
    <t>ORD1478</t>
  </si>
  <si>
    <t>C478</t>
  </si>
  <si>
    <t>ORD1479</t>
  </si>
  <si>
    <t>C479</t>
  </si>
  <si>
    <t>ORD1480</t>
  </si>
  <si>
    <t>C480</t>
  </si>
  <si>
    <t>ORD1481</t>
  </si>
  <si>
    <t>C481</t>
  </si>
  <si>
    <t>ORD1482</t>
  </si>
  <si>
    <t>C482</t>
  </si>
  <si>
    <t>ORD1483</t>
  </si>
  <si>
    <t>C483</t>
  </si>
  <si>
    <t>ORD1484</t>
  </si>
  <si>
    <t>C484</t>
  </si>
  <si>
    <t>ORD1485</t>
  </si>
  <si>
    <t>C485</t>
  </si>
  <si>
    <t>ORD1486</t>
  </si>
  <si>
    <t>C486</t>
  </si>
  <si>
    <t>ORD1487</t>
  </si>
  <si>
    <t>C487</t>
  </si>
  <si>
    <t>ORD1488</t>
  </si>
  <si>
    <t>C488</t>
  </si>
  <si>
    <t>ORD1489</t>
  </si>
  <si>
    <t>C489</t>
  </si>
  <si>
    <t>ORD1490</t>
  </si>
  <si>
    <t>C490</t>
  </si>
  <si>
    <t>ORD1491</t>
  </si>
  <si>
    <t>C491</t>
  </si>
  <si>
    <t>ORD1492</t>
  </si>
  <si>
    <t>C492</t>
  </si>
  <si>
    <t>ORD1493</t>
  </si>
  <si>
    <t>C493</t>
  </si>
  <si>
    <t>ORD1494</t>
  </si>
  <si>
    <t>C494</t>
  </si>
  <si>
    <t>ORD1495</t>
  </si>
  <si>
    <t>C495</t>
  </si>
  <si>
    <t>ORD1496</t>
  </si>
  <si>
    <t>C496</t>
  </si>
  <si>
    <t>ORD1497</t>
  </si>
  <si>
    <t>C497</t>
  </si>
  <si>
    <t>ORD1498</t>
  </si>
  <si>
    <t>C498</t>
  </si>
  <si>
    <t>ORD1499</t>
  </si>
  <si>
    <t>C499</t>
  </si>
  <si>
    <t>ORD1500</t>
  </si>
  <si>
    <t>C500</t>
  </si>
  <si>
    <t>Kolkata</t>
  </si>
  <si>
    <t>Upi</t>
  </si>
  <si>
    <t>Cod</t>
  </si>
  <si>
    <t>Order date</t>
  </si>
  <si>
    <t>day name</t>
  </si>
  <si>
    <t>weekday/weekend</t>
  </si>
  <si>
    <t>city</t>
  </si>
  <si>
    <t>Row Labels</t>
  </si>
  <si>
    <t>Grand Total</t>
  </si>
  <si>
    <t>Count of Category</t>
  </si>
  <si>
    <t>Sum of Quantity</t>
  </si>
  <si>
    <t>Sat</t>
  </si>
  <si>
    <t>Mon</t>
  </si>
  <si>
    <t>Thu</t>
  </si>
  <si>
    <t>Fri</t>
  </si>
  <si>
    <t>Wed</t>
  </si>
  <si>
    <t>Tue</t>
  </si>
  <si>
    <t>Sun</t>
  </si>
  <si>
    <t>Sum of Final_Payable_Amount</t>
  </si>
  <si>
    <t>Sum of Customer_Rating</t>
  </si>
  <si>
    <t>Count of Order_ID</t>
  </si>
  <si>
    <t>BLINKIT Sales and Revenue analysis</t>
  </si>
  <si>
    <t>ORD1001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</si>
</sst>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409]h:mm\ AM/PM;@"/>
  </numFmts>
  <fonts count="2" x14ac:knownFonts="1">
    <font>
      <sz val="11"/>
      <color theme="1"/>
      <name val="Calibri"/>
      <family val="2"/>
      <scheme val="minor"/>
    </font>
    <font>
      <sz val="26"/>
      <color theme="1"/>
      <name val="Algerian"/>
      <family val="5"/>
    </font>
  </fonts>
  <fills count="5">
    <fill>
      <patternFill patternType="none"/>
    </fill>
    <fill>
      <patternFill patternType="gray125"/>
    </fill>
    <fill>
      <patternFill patternType="solid">
        <fgColor rgb="FFFFFF00"/>
        <bgColor indexed="64"/>
      </patternFill>
    </fill>
    <fill>
      <patternFill patternType="solid">
        <fgColor rgb="FF0C831F"/>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1" xfId="0" applyBorder="1"/>
    <xf numFmtId="164" fontId="0" fillId="0" borderId="1" xfId="0" applyNumberFormat="1" applyBorder="1"/>
    <xf numFmtId="165" fontId="0" fillId="0" borderId="1" xfId="0" applyNumberFormat="1" applyBorder="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4" borderId="0" xfId="0" applyFill="1"/>
    <xf numFmtId="0" fontId="1"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1">
    <cellStyle name="Normal" xfId="0" builtinId="0"/>
  </cellStyles>
  <dxfs count="0"/>
  <tableStyles count="0" defaultTableStyle="TableStyleMedium9" defaultPivotStyle="PivotStyleLight16"/>
  <colors>
    <mruColors>
      <color rgb="FF0C83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[Blinkit_Cleaned.xlsx]Area wise customer rating!PivotTable4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Area</a:t>
            </a:r>
            <a:r>
              <a:rPr lang="en-US" baseline="0"/>
              <a:t> wise customer rating</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'Area wise customer rating'!$B$1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'Area wise customer rating'!$A$2:$A$9</c:f>
              <c:strCache>
                <c:ptCount val="8"/>
                <c:pt idx="0">
                  <c:v>Andheri</c:v>
                </c:pt>
                <c:pt idx="1">
                  <c:v>Dwarka</c:v>
                </c:pt>
                <c:pt idx="2">
                  <c:v>Gachibowli</c:v>
                </c:pt>
                <c:pt idx="3">
                  <c:v>Hinjewadi</c:v>
                </c:pt>
                <c:pt idx="4">
                  <c:v>Kukatpally</c:v>
                </c:pt>
                <c:pt idx="5">
                  <c:v>Rohini</c:v>
                </c:pt>
                <c:pt idx="6">
                  <c:v>Velachery</c:v>
                </c:pt>
                <c:pt idx="7">
                  <c:v>Whitefield</c:v>
                </c:pt>
              </c:strCache>
            </c:strRef>
          </c:cat>
          <c:val>
            <c:numRef>
              <c:f>'Area wise customer rating'!$B$2:$B$9</c:f>
              <c:numCache>
                <c:formatCode>General</c:formatCode>
                <c:ptCount val="8"/>
                <c:pt idx="0">
                  <c:v>154</c:v>
                </c:pt>
                <c:pt idx="1">
                  <c:v>168</c:v>
                </c:pt>
                <c:pt idx="2">
                  <c:v>152</c:v>
                </c:pt>
                <c:pt idx="3">
                  <c:v>159</c:v>
                </c:pt>
                <c:pt idx="4">
                  <c:v>152</c:v>
                </c:pt>
                <c:pt idx="5">
                  <c:v>154</c:v>
                </c:pt>
                <c:pt idx="6">
                  <c:v>149</c:v>
                </c:pt>
                <c:pt idx="7">
                  <c:v>182</c:v>
                </c:pt>
              </c:numCache>
            </c:numRef>
          </c:val>
          <c:extLst>
            <c:ext xmlns:c16="http://schemas.microsoft.com/office/drawing/2014/chart" uri="{C3380CC4-5D6E-409C-BE32-E72D297353CC}">
              <c16:uniqueId val="{00000000-3276-420E-A515-D41047722238}"/>
            </c:ext>
          </c:extLst>
        </c:ser>
        <c:dLbls>
          <c:showLegendKey val="0"/>
          <c:showVal val="1"/>
          <c:showCatName val="0"/>
          <c:showSerName val="0"/>
          <c:showPercent val="0"/>
          <c:showBubbleSize val="0"/>
        </c:dLbls>
        <c:gapWidth val="150"/>
        <c:shape val="box"/>
        <c:axId val="400413695"/>
        <c:axId val="400412255"/>
        <c:axId val="0"/>
      </c:bar3DChart>
      <c:catAx>
        <c:axId val="400413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0412255"/>
        <c:crosses val="autoZero"/>
        <c:auto val="1"/>
        <c:lblAlgn val="ctr"/>
        <c:lblOffset val="100"/>
        <c:noMultiLvlLbl val="0"/>
      </c:catAx>
      <c:valAx>
        <c:axId val="40041225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041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[Blinkit_Cleaned.xlsx]Customer prefrence in product!PivotTable7</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prefrence in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2632994046475893"/>
          <c:w val="0.82931279836918648"/>
          <c:h val="0.57469868650010769"/>
        </c:manualLayout>
      </c:layout>
      <c:areaChart>
        <c:grouping val="stacked"/>
        <c:varyColors val="0"/>
        <c:ser>
          <c:idx val="0"/>
          <c:order val="0"/>
          <c:tx>
            <c:strRef>
              <c:f>'Customer prefrence in product'!$B$1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'Customer prefrence in product'!$A$2:$A$7</c:f>
              <c:strCache>
                <c:ptCount val="6"/>
                <c:pt idx="0">
                  <c:v>Bakery</c:v>
                </c:pt>
                <c:pt idx="1">
                  <c:v>Dairy</c:v>
                </c:pt>
                <c:pt idx="2">
                  <c:v>Fruits</c:v>
                </c:pt>
                <c:pt idx="3">
                  <c:v>Grocery</c:v>
                </c:pt>
                <c:pt idx="4">
                  <c:v>Snacks</c:v>
                </c:pt>
                <c:pt idx="5">
                  <c:v>Vegetables</c:v>
                </c:pt>
              </c:strCache>
            </c:strRef>
          </c:cat>
          <c:val>
            <c:numRef>
              <c:f>'Customer prefrence in product'!$B$2:$B$7</c:f>
              <c:numCache>
                <c:formatCode>General</c:formatCode>
                <c:ptCount val="6"/>
                <c:pt idx="0">
                  <c:v>62</c:v>
                </c:pt>
                <c:pt idx="1">
                  <c:v>174</c:v>
                </c:pt>
                <c:pt idx="2">
                  <c:v>108</c:v>
                </c:pt>
                <c:pt idx="3">
                  <c:v>50</c:v>
                </c:pt>
                <c:pt idx="4">
                  <c:v>54</c:v>
                </c:pt>
                <c:pt idx="5">
                  <c:v>52</c:v>
                </c:pt>
              </c:numCache>
            </c:numRef>
          </c:val>
          <c:extLst>
            <c:ext xmlns:c16="http://schemas.microsoft.com/office/drawing/2014/chart" uri="{C3380CC4-5D6E-409C-BE32-E72D297353CC}">
              <c16:uniqueId val="{00000000-7D31-430F-B13E-9F904B493D94}"/>
            </c:ext>
          </c:extLst>
        </c:ser>
        <c:dLbls>
          <c:showLegendKey val="0"/>
          <c:showVal val="0"/>
          <c:showCatName val="0"/>
          <c:showSerName val="0"/>
          <c:showPercent val="0"/>
          <c:showBubbleSize val="0"/>
        </c:dLbls>
        <c:axId val="740547551"/>
        <c:axId val="740545151"/>
      </c:areaChart>
      <c:catAx>
        <c:axId val="74054755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0545151"/>
        <c:crosses val="autoZero"/>
        <c:auto val="1"/>
        <c:lblAlgn val="ctr"/>
        <c:lblOffset val="100"/>
        <c:noMultiLvlLbl val="0"/>
      </c:catAx>
      <c:valAx>
        <c:axId val="7405451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05475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[Blinkit_Cleaned.xlsx]Day wise sales!PivotTable5</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Day</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'Day wise sales'!$B$1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'Day wise sales'!$A$2:$A$9</c:f>
              <c:strCache>
                <c:ptCount val="7"/>
                <c:pt idx="0">
                  <c:v>Sun</c:v>
                </c:pt>
                <c:pt idx="1">
                  <c:v>Mon</c:v>
                </c:pt>
                <c:pt idx="2">
                  <c:v>Tue</c:v>
                </c:pt>
                <c:pt idx="3">
                  <c:v>Wed</c:v>
                </c:pt>
                <c:pt idx="4">
                  <c:v>Thu</c:v>
                </c:pt>
                <c:pt idx="5">
                  <c:v>Fri</c:v>
                </c:pt>
                <c:pt idx="6">
                  <c:v>Sat</c:v>
                </c:pt>
              </c:strCache>
            </c:strRef>
          </c:cat>
          <c:val>
            <c:numRef>
              <c:f>'Day wise sales'!$B$2:$B$9</c:f>
              <c:numCache>
                <c:formatCode>General</c:formatCode>
                <c:ptCount val="7"/>
                <c:pt idx="0">
                  <c:v>11736</c:v>
                </c:pt>
                <c:pt idx="1">
                  <c:v>12389</c:v>
                </c:pt>
                <c:pt idx="2">
                  <c:v>16204</c:v>
                </c:pt>
                <c:pt idx="3">
                  <c:v>16763</c:v>
                </c:pt>
                <c:pt idx="4">
                  <c:v>12695</c:v>
                </c:pt>
                <c:pt idx="5">
                  <c:v>12469</c:v>
                </c:pt>
                <c:pt idx="6">
                  <c:v>30826</c:v>
                </c:pt>
              </c:numCache>
            </c:numRef>
          </c:val>
          <c:extLst>
            <c:ext xmlns:c16="http://schemas.microsoft.com/office/drawing/2014/chart" uri="{C3380CC4-5D6E-409C-BE32-E72D297353CC}">
              <c16:uniqueId val="{00000000-70DC-49C3-886F-BD7C69C83AFB}"/>
            </c:ext>
          </c:extLst>
        </c:ser>
        <c:dLbls>
          <c:showLegendKey val="0"/>
          <c:showVal val="1"/>
          <c:showCatName val="0"/>
          <c:showSerName val="0"/>
          <c:showPercent val="0"/>
          <c:showBubbleSize val="0"/>
        </c:dLbls>
        <c:gapWidth val="150"/>
        <c:shape val="box"/>
        <c:axId val="303620015"/>
        <c:axId val="303627215"/>
        <c:axId val="0"/>
      </c:bar3DChart>
      <c:catAx>
        <c:axId val="303620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3627215"/>
        <c:crosses val="autoZero"/>
        <c:auto val="1"/>
        <c:lblAlgn val="ctr"/>
        <c:lblOffset val="100"/>
        <c:noMultiLvlLbl val="0"/>
      </c:catAx>
      <c:valAx>
        <c:axId val="30362721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362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[Blinkit_Cleaned.xlsx]City wise Category and sales co!PivotTable2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City</a:t>
            </a:r>
            <a:r>
              <a:rPr lang="en-IN" baseline="0"/>
              <a:t> wise Category and sales count</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 wise Category and sales co'!$B$1</c:f>
              <c:strCache>
                <c:ptCount val="1"/>
                <c:pt idx="0">
                  <c:v>Count of Category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'City wise Category and sales co'!$A$2:$A$9</c:f>
              <c:strCache>
                <c:ptCount val="7"/>
                <c:pt idx="0">
                  <c:v>Bangalore</c:v>
                </c:pt>
                <c:pt idx="1">
                  <c:v>Chennai</c:v>
                </c:pt>
                <c:pt idx="2">
                  <c:v>Delhi</c:v>
                </c:pt>
                <c:pt idx="3">
                  <c:v>Hyderabad</c:v>
                </c:pt>
                <c:pt idx="4">
                  <c:v>Kolkata</c:v>
                </c:pt>
                <c:pt idx="5">
                  <c:v>Mumbai</c:v>
                </c:pt>
                <c:pt idx="6">
                  <c:v>Pune</c:v>
                </c:pt>
              </c:strCache>
            </c:strRef>
          </c:cat>
          <c:val>
            <c:numRef>
              <c:f>'City wise Category and sales co'!$B$2:$B$9</c:f>
              <c:numCache>
                <c:formatCode>General</c:formatCode>
                <c:ptCount val="7"/>
                <c:pt idx="0">
                  <c:v>124</c:v>
                </c:pt>
                <c:pt idx="1">
                  <c:v>53</c:v>
                </c:pt>
                <c:pt idx="2">
                  <c:v>52</c:v>
                </c:pt>
                <c:pt idx="3">
                  <c:v>100</c:v>
                </c:pt>
                <c:pt idx="4">
                  <c:v>49</c:v>
                </c:pt>
                <c:pt idx="5">
                  <c:v>59</c:v>
                </c:pt>
                <c:pt idx="6">
                  <c:v>63</c:v>
                </c:pt>
              </c:numCache>
            </c:numRef>
          </c:val>
          <c:extLst>
            <c:ext xmlns:c16="http://schemas.microsoft.com/office/drawing/2014/chart" uri="{C3380CC4-5D6E-409C-BE32-E72D297353CC}">
              <c16:uniqueId val="{00000000-DED8-4265-AB7F-8C495666ACFB}"/>
            </c:ext>
          </c:extLst>
        </c:ser>
        <c:ser>
          <c:idx val="1"/>
          <c:order val="1"/>
          <c:tx>
            <c:strRef>
              <c:f>'City wise Category and sales co'!$C$1</c:f>
              <c:strCache>
                <c:ptCount val="1"/>
                <c:pt idx="0">
                  <c:v>Sum of Quantity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'City wise Category and sales co'!$A$2:$A$9</c:f>
              <c:strCache>
                <c:ptCount val="7"/>
                <c:pt idx="0">
                  <c:v>Bangalore</c:v>
                </c:pt>
                <c:pt idx="1">
                  <c:v>Chennai</c:v>
                </c:pt>
                <c:pt idx="2">
                  <c:v>Delhi</c:v>
                </c:pt>
                <c:pt idx="3">
                  <c:v>Hyderabad</c:v>
                </c:pt>
                <c:pt idx="4">
                  <c:v>Kolkata</c:v>
                </c:pt>
                <c:pt idx="5">
                  <c:v>Mumbai</c:v>
                </c:pt>
                <c:pt idx="6">
                  <c:v>Pune</c:v>
                </c:pt>
              </c:strCache>
            </c:strRef>
          </c:cat>
          <c:val>
            <c:numRef>
              <c:f>'City wise Category and sales co'!$C$2:$C$9</c:f>
              <c:numCache>
                <c:formatCode>General</c:formatCode>
                <c:ptCount val="7"/>
                <c:pt idx="0">
                  <c:v>462</c:v>
                </c:pt>
                <c:pt idx="1">
                  <c:v>173</c:v>
                </c:pt>
                <c:pt idx="2">
                  <c:v>183</c:v>
                </c:pt>
                <c:pt idx="3">
                  <c:v>365</c:v>
                </c:pt>
                <c:pt idx="4">
                  <c:v>176</c:v>
                </c:pt>
                <c:pt idx="5">
                  <c:v>214</c:v>
                </c:pt>
                <c:pt idx="6">
                  <c:v>222</c:v>
                </c:pt>
              </c:numCache>
            </c:numRef>
          </c:val>
          <c:extLst>
            <c:ext xmlns:c16="http://schemas.microsoft.com/office/drawing/2014/chart" uri="{C3380CC4-5D6E-409C-BE32-E72D297353CC}">
              <c16:uniqueId val="{00000002-DED8-4265-AB7F-8C495666ACFB}"/>
            </c:ext>
          </c:extLst>
        </c:ser>
        <c:dLbls>
          <c:showLegendKey val="0"/>
          <c:showVal val="0"/>
          <c:showCatName val="0"/>
          <c:showSerName val="0"/>
          <c:showPercent val="0"/>
          <c:showBubbleSize val="0"/>
        </c:dLbls>
        <c:gapWidth val="315"/>
        <c:overlap val="-40"/>
        <c:axId val="603127343"/>
        <c:axId val="603127823"/>
      </c:barChart>
      <c:catAx>
        <c:axId val="6031273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3127823"/>
        <c:crosses val="autoZero"/>
        <c:auto val="1"/>
        <c:lblAlgn val="ctr"/>
        <c:lblOffset val="100"/>
        <c:noMultiLvlLbl val="0"/>
      </c:catAx>
      <c:valAx>
        <c:axId val="6031278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3127343"/>
        <c:crosses val="autoZero"/>
        <c:crossBetween val="between"/>
      </c:valAx>
      <c:spPr>
        <a:noFill/>
        <a:ln>
          <a:noFill/>
        </a:ln>
        <a:effectLst/>
      </c:spPr>
    </c:plotArea>
    <c:legend>
      <c:legendPos val="r"/>
      <c:layout>
        <c:manualLayout>
          <c:xMode val="edge"/>
          <c:yMode val="edge"/>
          <c:x val="0.81091060596859843"/>
          <c:y val="4.484762680527004E-2"/>
          <c:w val="0.16017704270611033"/>
          <c:h val="0.117188320209973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[Blinkit_Cleaned.xlsx]Product sales !PivotTable3</c:name>
    <c:fmtId val="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Product sales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sales '!$B$3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'Product sales '!$A$4:$A$12</c:f>
              <c:strCache>
                <c:ptCount val="9"/>
                <c:pt idx="0">
                  <c:v>Apple</c:v>
                </c:pt>
                <c:pt idx="1">
                  <c:v>Banana</c:v>
                </c:pt>
                <c:pt idx="2">
                  <c:v>Bread</c:v>
                </c:pt>
                <c:pt idx="3">
                  <c:v>Chips</c:v>
                </c:pt>
                <c:pt idx="4">
                  <c:v>Curd</c:v>
                </c:pt>
                <c:pt idx="5">
                  <c:v>Milk 1L</c:v>
                </c:pt>
                <c:pt idx="6">
                  <c:v>Paneer</c:v>
                </c:pt>
                <c:pt idx="7">
                  <c:v>Potato</c:v>
                </c:pt>
                <c:pt idx="8">
                  <c:v>Rice 5kg</c:v>
                </c:pt>
              </c:strCache>
            </c:strRef>
          </c:cat>
          <c:val>
            <c:numRef>
              <c:f>'Product sales '!$B$4:$B$12</c:f>
              <c:numCache>
                <c:formatCode>General</c:formatCode>
                <c:ptCount val="9"/>
                <c:pt idx="0">
                  <c:v>11441</c:v>
                </c:pt>
                <c:pt idx="1">
                  <c:v>12882</c:v>
                </c:pt>
                <c:pt idx="2">
                  <c:v>14540</c:v>
                </c:pt>
                <c:pt idx="3">
                  <c:v>10779</c:v>
                </c:pt>
                <c:pt idx="4">
                  <c:v>14121</c:v>
                </c:pt>
                <c:pt idx="5">
                  <c:v>16952</c:v>
                </c:pt>
                <c:pt idx="6">
                  <c:v>11376</c:v>
                </c:pt>
                <c:pt idx="7">
                  <c:v>11728</c:v>
                </c:pt>
                <c:pt idx="8">
                  <c:v>9263</c:v>
                </c:pt>
              </c:numCache>
            </c:numRef>
          </c:val>
          <c:extLst>
            <c:ext xmlns:c16="http://schemas.microsoft.com/office/drawing/2014/chart" uri="{C3380CC4-5D6E-409C-BE32-E72D297353CC}">
              <c16:uniqueId val="{00000000-E87E-4DC5-9958-51B8B7435859}"/>
            </c:ext>
          </c:extLst>
        </c:ser>
        <c:dLbls>
          <c:dLblPos val="inEnd"/>
          <c:showLegendKey val="0"/>
          <c:showVal val="1"/>
          <c:showCatName val="0"/>
          <c:showSerName val="0"/>
          <c:showPercent val="0"/>
          <c:showBubbleSize val="0"/>
        </c:dLbls>
        <c:gapWidth val="182"/>
        <c:overlap val="-50"/>
        <c:axId val="602544415"/>
        <c:axId val="602545855"/>
      </c:barChart>
      <c:catAx>
        <c:axId val="60254441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2545855"/>
        <c:crosses val="autoZero"/>
        <c:auto val="1"/>
        <c:lblAlgn val="ctr"/>
        <c:lblOffset val="100"/>
        <c:noMultiLvlLbl val="0"/>
      </c:catAx>
      <c:valAx>
        <c:axId val="60254585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254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[Blinkit_Cleaned.xlsx]Day wise sales!PivotTable5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Day</a:t>
            </a:r>
            <a:r>
              <a:rPr lang="en-US" baseline="0"/>
              <a:t> wise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'Day wise sales'!$B$1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'Day wise sales'!$A$2:$A$9</c:f>
              <c:strCache>
                <c:ptCount val="7"/>
                <c:pt idx="0">
                  <c:v>Sun</c:v>
                </c:pt>
                <c:pt idx="1">
                  <c:v>Mon</c:v>
                </c:pt>
                <c:pt idx="2">
                  <c:v>Tue</c:v>
                </c:pt>
                <c:pt idx="3">
                  <c:v>Wed</c:v>
                </c:pt>
                <c:pt idx="4">
                  <c:v>Thu</c:v>
                </c:pt>
                <c:pt idx="5">
                  <c:v>Fri</c:v>
                </c:pt>
                <c:pt idx="6">
                  <c:v>Sat</c:v>
                </c:pt>
              </c:strCache>
            </c:strRef>
          </c:cat>
          <c:val>
            <c:numRef>
              <c:f>'Day wise sales'!$B$2:$B$9</c:f>
              <c:numCache>
                <c:formatCode>General</c:formatCode>
                <c:ptCount val="7"/>
                <c:pt idx="0">
                  <c:v>11736</c:v>
                </c:pt>
                <c:pt idx="1">
                  <c:v>12389</c:v>
                </c:pt>
                <c:pt idx="2">
                  <c:v>16204</c:v>
                </c:pt>
                <c:pt idx="3">
                  <c:v>16763</c:v>
                </c:pt>
                <c:pt idx="4">
                  <c:v>12695</c:v>
                </c:pt>
                <c:pt idx="5">
                  <c:v>12469</c:v>
                </c:pt>
                <c:pt idx="6">
                  <c:v>30826</c:v>
                </c:pt>
              </c:numCache>
            </c:numRef>
          </c:val>
          <c:extLst>
            <c:ext xmlns:c16="http://schemas.microsoft.com/office/drawing/2014/chart" uri="{C3380CC4-5D6E-409C-BE32-E72D297353CC}">
              <c16:uniqueId val="{00000000-7C9F-478A-9301-DA5237608B6C}"/>
            </c:ext>
          </c:extLst>
        </c:ser>
        <c:dLbls>
          <c:showLegendKey val="0"/>
          <c:showVal val="1"/>
          <c:showCatName val="0"/>
          <c:showSerName val="0"/>
          <c:showPercent val="0"/>
          <c:showBubbleSize val="0"/>
        </c:dLbls>
        <c:gapWidth val="150"/>
        <c:shape val="box"/>
        <c:axId val="303620015"/>
        <c:axId val="303627215"/>
        <c:axId val="0"/>
      </c:bar3DChart>
      <c:catAx>
        <c:axId val="303620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3627215"/>
        <c:crosses val="autoZero"/>
        <c:auto val="1"/>
        <c:lblAlgn val="ctr"/>
        <c:lblOffset val="100"/>
        <c:noMultiLvlLbl val="0"/>
      </c:catAx>
      <c:valAx>
        <c:axId val="30362721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362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[Blinkit_Cleaned.xlsx]Product sales !PivotTable3</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Product sales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sales '!$B$3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'Product sales '!$A$4:$A$12</c:f>
              <c:strCache>
                <c:ptCount val="9"/>
                <c:pt idx="0">
                  <c:v>Apple</c:v>
                </c:pt>
                <c:pt idx="1">
                  <c:v>Banana</c:v>
                </c:pt>
                <c:pt idx="2">
                  <c:v>Bread</c:v>
                </c:pt>
                <c:pt idx="3">
                  <c:v>Chips</c:v>
                </c:pt>
                <c:pt idx="4">
                  <c:v>Curd</c:v>
                </c:pt>
                <c:pt idx="5">
                  <c:v>Milk 1L</c:v>
                </c:pt>
                <c:pt idx="6">
                  <c:v>Paneer</c:v>
                </c:pt>
                <c:pt idx="7">
                  <c:v>Potato</c:v>
                </c:pt>
                <c:pt idx="8">
                  <c:v>Rice 5kg</c:v>
                </c:pt>
              </c:strCache>
            </c:strRef>
          </c:cat>
          <c:val>
            <c:numRef>
              <c:f>'Product sales '!$B$4:$B$12</c:f>
              <c:numCache>
                <c:formatCode>General</c:formatCode>
                <c:ptCount val="9"/>
                <c:pt idx="0">
                  <c:v>11441</c:v>
                </c:pt>
                <c:pt idx="1">
                  <c:v>12882</c:v>
                </c:pt>
                <c:pt idx="2">
                  <c:v>14540</c:v>
                </c:pt>
                <c:pt idx="3">
                  <c:v>10779</c:v>
                </c:pt>
                <c:pt idx="4">
                  <c:v>14121</c:v>
                </c:pt>
                <c:pt idx="5">
                  <c:v>16952</c:v>
                </c:pt>
                <c:pt idx="6">
                  <c:v>11376</c:v>
                </c:pt>
                <c:pt idx="7">
                  <c:v>11728</c:v>
                </c:pt>
                <c:pt idx="8">
                  <c:v>9263</c:v>
                </c:pt>
              </c:numCache>
            </c:numRef>
          </c:val>
          <c:extLst>
            <c:ext xmlns:c16="http://schemas.microsoft.com/office/drawing/2014/chart" uri="{C3380CC4-5D6E-409C-BE32-E72D297353CC}">
              <c16:uniqueId val="{00000000-2B57-47BF-AD03-FCF680DE68C4}"/>
            </c:ext>
          </c:extLst>
        </c:ser>
        <c:dLbls>
          <c:dLblPos val="inEnd"/>
          <c:showLegendKey val="0"/>
          <c:showVal val="1"/>
          <c:showCatName val="0"/>
          <c:showSerName val="0"/>
          <c:showPercent val="0"/>
          <c:showBubbleSize val="0"/>
        </c:dLbls>
        <c:gapWidth val="182"/>
        <c:overlap val="-50"/>
        <c:axId val="602544415"/>
        <c:axId val="602545855"/>
      </c:barChart>
      <c:catAx>
        <c:axId val="60254441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2545855"/>
        <c:crosses val="autoZero"/>
        <c:auto val="1"/>
        <c:lblAlgn val="ctr"/>
        <c:lblOffset val="100"/>
        <c:noMultiLvlLbl val="0"/>
      </c:catAx>
      <c:valAx>
        <c:axId val="60254585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254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[Blinkit_Cleaned.xlsx]Customer prefrence in product!PivotTable7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prefrence in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2632994046475893"/>
          <c:w val="0.82931279836918648"/>
          <c:h val="0.57469868650010769"/>
        </c:manualLayout>
      </c:layout>
      <c:areaChart>
        <c:grouping val="stacked"/>
        <c:varyColors val="0"/>
        <c:ser>
          <c:idx val="0"/>
          <c:order val="0"/>
          <c:tx>
            <c:strRef>
              <c:f>'Customer prefrence in product'!$B$1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'Customer prefrence in product'!$A$2:$A$7</c:f>
              <c:strCache>
                <c:ptCount val="6"/>
                <c:pt idx="0">
                  <c:v>Bakery</c:v>
                </c:pt>
                <c:pt idx="1">
                  <c:v>Dairy</c:v>
                </c:pt>
                <c:pt idx="2">
                  <c:v>Fruits</c:v>
                </c:pt>
                <c:pt idx="3">
                  <c:v>Grocery</c:v>
                </c:pt>
                <c:pt idx="4">
                  <c:v>Snacks</c:v>
                </c:pt>
                <c:pt idx="5">
                  <c:v>Vegetables</c:v>
                </c:pt>
              </c:strCache>
            </c:strRef>
          </c:cat>
          <c:val>
            <c:numRef>
              <c:f>'Customer prefrence in product'!$B$2:$B$7</c:f>
              <c:numCache>
                <c:formatCode>General</c:formatCode>
                <c:ptCount val="6"/>
                <c:pt idx="0">
                  <c:v>62</c:v>
                </c:pt>
                <c:pt idx="1">
                  <c:v>174</c:v>
                </c:pt>
                <c:pt idx="2">
                  <c:v>108</c:v>
                </c:pt>
                <c:pt idx="3">
                  <c:v>50</c:v>
                </c:pt>
                <c:pt idx="4">
                  <c:v>54</c:v>
                </c:pt>
                <c:pt idx="5">
                  <c:v>52</c:v>
                </c:pt>
              </c:numCache>
            </c:numRef>
          </c:val>
          <c:extLst>
            <c:ext xmlns:c16="http://schemas.microsoft.com/office/drawing/2014/chart" uri="{C3380CC4-5D6E-409C-BE32-E72D297353CC}">
              <c16:uniqueId val="{00000000-A55C-4A31-AEE9-BA460C270185}"/>
            </c:ext>
          </c:extLst>
        </c:ser>
        <c:dLbls>
          <c:showLegendKey val="0"/>
          <c:showVal val="0"/>
          <c:showCatName val="0"/>
          <c:showSerName val="0"/>
          <c:showPercent val="0"/>
          <c:showBubbleSize val="0"/>
        </c:dLbls>
        <c:axId val="740547551"/>
        <c:axId val="740545151"/>
      </c:areaChart>
      <c:catAx>
        <c:axId val="740547551"/>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0545151"/>
        <c:crosses val="autoZero"/>
        <c:auto val="1"/>
        <c:lblAlgn val="ctr"/>
        <c:lblOffset val="100"/>
        <c:noMultiLvlLbl val="0"/>
      </c:catAx>
      <c:valAx>
        <c:axId val="7405451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05475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[Blinkit_Cleaned.xlsx]City wise Category and sales co!PivotTable2</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City</a:t>
            </a:r>
            <a:r>
              <a:rPr lang="en-IN" baseline="0"/>
              <a:t> wise Category and sales count</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 wise Category and sales co'!$B$1</c:f>
              <c:strCache>
                <c:ptCount val="1"/>
                <c:pt idx="0">
                  <c:v>Count of Category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'City wise Category and sales co'!$A$2:$A$9</c:f>
              <c:strCache>
                <c:ptCount val="7"/>
                <c:pt idx="0">
                  <c:v>Bangalore</c:v>
                </c:pt>
                <c:pt idx="1">
                  <c:v>Chennai</c:v>
                </c:pt>
                <c:pt idx="2">
                  <c:v>Delhi</c:v>
                </c:pt>
                <c:pt idx="3">
                  <c:v>Hyderabad</c:v>
                </c:pt>
                <c:pt idx="4">
                  <c:v>Kolkata</c:v>
                </c:pt>
                <c:pt idx="5">
                  <c:v>Mumbai</c:v>
                </c:pt>
                <c:pt idx="6">
                  <c:v>Pune</c:v>
                </c:pt>
              </c:strCache>
            </c:strRef>
          </c:cat>
          <c:val>
            <c:numRef>
              <c:f>'City wise Category and sales co'!$B$2:$B$9</c:f>
              <c:numCache>
                <c:formatCode>General</c:formatCode>
                <c:ptCount val="7"/>
                <c:pt idx="0">
                  <c:v>124</c:v>
                </c:pt>
                <c:pt idx="1">
                  <c:v>53</c:v>
                </c:pt>
                <c:pt idx="2">
                  <c:v>52</c:v>
                </c:pt>
                <c:pt idx="3">
                  <c:v>100</c:v>
                </c:pt>
                <c:pt idx="4">
                  <c:v>49</c:v>
                </c:pt>
                <c:pt idx="5">
                  <c:v>59</c:v>
                </c:pt>
                <c:pt idx="6">
                  <c:v>63</c:v>
                </c:pt>
              </c:numCache>
            </c:numRef>
          </c:val>
          <c:extLst>
            <c:ext xmlns:c16="http://schemas.microsoft.com/office/drawing/2014/chart" uri="{C3380CC4-5D6E-409C-BE32-E72D297353CC}">
              <c16:uniqueId val="{00000000-2860-4DF1-A49E-171E69221306}"/>
            </c:ext>
          </c:extLst>
        </c:ser>
        <c:ser>
          <c:idx val="1"/>
          <c:order val="1"/>
          <c:tx>
            <c:strRef>
              <c:f>'City wise Category and sales co'!$C$1</c:f>
              <c:strCache>
                <c:ptCount val="1"/>
                <c:pt idx="0">
                  <c:v>Sum of Quantity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'City wise Category and sales co'!$A$2:$A$9</c:f>
              <c:strCache>
                <c:ptCount val="7"/>
                <c:pt idx="0">
                  <c:v>Bangalore</c:v>
                </c:pt>
                <c:pt idx="1">
                  <c:v>Chennai</c:v>
                </c:pt>
                <c:pt idx="2">
                  <c:v>Delhi</c:v>
                </c:pt>
                <c:pt idx="3">
                  <c:v>Hyderabad</c:v>
                </c:pt>
                <c:pt idx="4">
                  <c:v>Kolkata</c:v>
                </c:pt>
                <c:pt idx="5">
                  <c:v>Mumbai</c:v>
                </c:pt>
                <c:pt idx="6">
                  <c:v>Pune</c:v>
                </c:pt>
              </c:strCache>
            </c:strRef>
          </c:cat>
          <c:val>
            <c:numRef>
              <c:f>'City wise Category and sales co'!$C$2:$C$9</c:f>
              <c:numCache>
                <c:formatCode>General</c:formatCode>
                <c:ptCount val="7"/>
                <c:pt idx="0">
                  <c:v>462</c:v>
                </c:pt>
                <c:pt idx="1">
                  <c:v>173</c:v>
                </c:pt>
                <c:pt idx="2">
                  <c:v>183</c:v>
                </c:pt>
                <c:pt idx="3">
                  <c:v>365</c:v>
                </c:pt>
                <c:pt idx="4">
                  <c:v>176</c:v>
                </c:pt>
                <c:pt idx="5">
                  <c:v>214</c:v>
                </c:pt>
                <c:pt idx="6">
                  <c:v>222</c:v>
                </c:pt>
              </c:numCache>
            </c:numRef>
          </c:val>
          <c:extLst>
            <c:ext xmlns:c16="http://schemas.microsoft.com/office/drawing/2014/chart" uri="{C3380CC4-5D6E-409C-BE32-E72D297353CC}">
              <c16:uniqueId val="{00000001-2860-4DF1-A49E-171E69221306}"/>
            </c:ext>
          </c:extLst>
        </c:ser>
        <c:dLbls>
          <c:showLegendKey val="0"/>
          <c:showVal val="0"/>
          <c:showCatName val="0"/>
          <c:showSerName val="0"/>
          <c:showPercent val="0"/>
          <c:showBubbleSize val="0"/>
        </c:dLbls>
        <c:gapWidth val="315"/>
        <c:overlap val="-40"/>
        <c:axId val="603127343"/>
        <c:axId val="603127823"/>
      </c:barChart>
      <c:catAx>
        <c:axId val="6031273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3127823"/>
        <c:crosses val="autoZero"/>
        <c:auto val="1"/>
        <c:lblAlgn val="ctr"/>
        <c:lblOffset val="100"/>
        <c:noMultiLvlLbl val="0"/>
      </c:catAx>
      <c:valAx>
        <c:axId val="6031278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3127343"/>
        <c:crosses val="autoZero"/>
        <c:crossBetween val="between"/>
      </c:valAx>
      <c:spPr>
        <a:noFill/>
        <a:ln>
          <a:noFill/>
        </a:ln>
        <a:effectLst/>
      </c:spPr>
    </c:plotArea>
    <c:legend>
      <c:legendPos val="r"/>
      <c:layout>
        <c:manualLayout>
          <c:xMode val="edge"/>
          <c:yMode val="edge"/>
          <c:x val="0.81091060596859843"/>
          <c:y val="4.484762680527004E-2"/>
          <c:w val="0.16017704270611033"/>
          <c:h val="0.117188320209973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[Blinkit_Cleaned.xlsx]Area wise customer rating!PivotTable4</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Area</a:t>
            </a:r>
            <a:r>
              <a:rPr lang="en-US" baseline="0"/>
              <a:t> wise customer rating</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'Area wise customer rating'!$B$1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'Area wise customer rating'!$A$2:$A$9</c:f>
              <c:strCache>
                <c:ptCount val="8"/>
                <c:pt idx="0">
                  <c:v>Andheri</c:v>
                </c:pt>
                <c:pt idx="1">
                  <c:v>Dwarka</c:v>
                </c:pt>
                <c:pt idx="2">
                  <c:v>Gachibowli</c:v>
                </c:pt>
                <c:pt idx="3">
                  <c:v>Hinjewadi</c:v>
                </c:pt>
                <c:pt idx="4">
                  <c:v>Kukatpally</c:v>
                </c:pt>
                <c:pt idx="5">
                  <c:v>Rohini</c:v>
                </c:pt>
                <c:pt idx="6">
                  <c:v>Velachery</c:v>
                </c:pt>
                <c:pt idx="7">
                  <c:v>Whitefield</c:v>
                </c:pt>
              </c:strCache>
            </c:strRef>
          </c:cat>
          <c:val>
            <c:numRef>
              <c:f>'Area wise customer rating'!$B$2:$B$9</c:f>
              <c:numCache>
                <c:formatCode>General</c:formatCode>
                <c:ptCount val="8"/>
                <c:pt idx="0">
                  <c:v>154</c:v>
                </c:pt>
                <c:pt idx="1">
                  <c:v>168</c:v>
                </c:pt>
                <c:pt idx="2">
                  <c:v>152</c:v>
                </c:pt>
                <c:pt idx="3">
                  <c:v>159</c:v>
                </c:pt>
                <c:pt idx="4">
                  <c:v>152</c:v>
                </c:pt>
                <c:pt idx="5">
                  <c:v>154</c:v>
                </c:pt>
                <c:pt idx="6">
                  <c:v>149</c:v>
                </c:pt>
                <c:pt idx="7">
                  <c:v>182</c:v>
                </c:pt>
              </c:numCache>
            </c:numRef>
          </c:val>
          <c:extLst>
            <c:ext xmlns:c16="http://schemas.microsoft.com/office/drawing/2014/chart" uri="{C3380CC4-5D6E-409C-BE32-E72D297353CC}">
              <c16:uniqueId val="{00000000-6416-43B0-8C34-AC32BF0B4D47}"/>
            </c:ext>
          </c:extLst>
        </c:ser>
        <c:dLbls>
          <c:showLegendKey val="0"/>
          <c:showVal val="1"/>
          <c:showCatName val="0"/>
          <c:showSerName val="0"/>
          <c:showPercent val="0"/>
          <c:showBubbleSize val="0"/>
        </c:dLbls>
        <c:gapWidth val="150"/>
        <c:shape val="box"/>
        <c:axId val="400413695"/>
        <c:axId val="400412255"/>
        <c:axId val="0"/>
      </c:bar3DChart>
      <c:catAx>
        <c:axId val="400413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0412255"/>
        <c:crosses val="autoZero"/>
        <c:auto val="1"/>
        <c:lblAlgn val="ctr"/>
        <c:lblOffset val="100"/>
        <c:noMultiLvlLbl val="0"/>
      </c:catAx>
      <c:valAx>
        <c:axId val="40041225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041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45720</xdr:colOff>
      <xdr:row>5</xdr:row>
      <xdr:rowOff>148590</xdr:rowOff>
    </xdr:from>
    <xdr:to>
      <xdr:col>10</xdr:col>
      <xdr:colOff>38100</xdr:colOff>
      <xdr:row>25</xdr:row>
      <xdr:rowOff>167640</xdr:rowOff>
    </xdr:to>
    <xdr:graphicFrame macro="">
      <xdr:nvGraphicFramePr>
        <xdr:cNvPr id="4" name="Chart 3">
          <a:extLst>
            <a:ext uri="{FF2B5EF4-FFF2-40B4-BE49-F238E27FC236}">
              <a16:creationId xmlns:a16="http://schemas.microsoft.com/office/drawing/2014/main" id="{F15E3C5C-B1D2-F905-E707-84EAD11E89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152400</xdr:colOff>
      <xdr:row>4</xdr:row>
      <xdr:rowOff>0</xdr:rowOff>
    </xdr:from>
    <xdr:to>
      <xdr:col>12</xdr:col>
      <xdr:colOff>175260</xdr:colOff>
      <xdr:row>22</xdr:row>
      <xdr:rowOff>152400</xdr:rowOff>
    </xdr:to>
    <xdr:graphicFrame macro="">
      <xdr:nvGraphicFramePr>
        <xdr:cNvPr id="3" name="Chart 2">
          <a:extLst>
            <a:ext uri="{FF2B5EF4-FFF2-40B4-BE49-F238E27FC236}">
              <a16:creationId xmlns:a16="http://schemas.microsoft.com/office/drawing/2014/main" id="{0DBCFD8A-E422-5AA2-7855-D718F2EB02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212459</xdr:colOff>
      <xdr:row>6</xdr:row>
      <xdr:rowOff>64976</xdr:rowOff>
    </xdr:from>
    <xdr:to>
      <xdr:col>11</xdr:col>
      <xdr:colOff>220079</xdr:colOff>
      <xdr:row>25</xdr:row>
      <xdr:rowOff>72595</xdr:rowOff>
    </xdr:to>
    <xdr:graphicFrame macro="">
      <xdr:nvGraphicFramePr>
        <xdr:cNvPr id="3" name="Chart 2">
          <a:extLst>
            <a:ext uri="{FF2B5EF4-FFF2-40B4-BE49-F238E27FC236}">
              <a16:creationId xmlns:a16="http://schemas.microsoft.com/office/drawing/2014/main" id="{EC681395-4E9B-D287-8B2F-1BE55D43C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114300</xdr:colOff>
      <xdr:row>5</xdr:row>
      <xdr:rowOff>0</xdr:rowOff>
    </xdr:from>
    <xdr:to>
      <xdr:col>13</xdr:col>
      <xdr:colOff>541020</xdr:colOff>
      <xdr:row>25</xdr:row>
      <xdr:rowOff>0</xdr:rowOff>
    </xdr:to>
    <xdr:graphicFrame macro="">
      <xdr:nvGraphicFramePr>
        <xdr:cNvPr id="2" name="Chart 1">
          <a:extLst>
            <a:ext uri="{FF2B5EF4-FFF2-40B4-BE49-F238E27FC236}">
              <a16:creationId xmlns:a16="http://schemas.microsoft.com/office/drawing/2014/main" id="{F236CC14-7485-21F3-9B36-C6475BFA1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106680</xdr:colOff>
      <xdr:row>5</xdr:row>
      <xdr:rowOff>102870</xdr:rowOff>
    </xdr:from>
    <xdr:to>
      <xdr:col>12</xdr:col>
      <xdr:colOff>99060</xdr:colOff>
      <xdr:row>23</xdr:row>
      <xdr:rowOff>106680</xdr:rowOff>
    </xdr:to>
    <xdr:graphicFrame macro="">
      <xdr:nvGraphicFramePr>
        <xdr:cNvPr id="3" name="Chart 2">
          <a:extLst>
            <a:ext uri="{FF2B5EF4-FFF2-40B4-BE49-F238E27FC236}">
              <a16:creationId xmlns:a16="http://schemas.microsoft.com/office/drawing/2014/main" id="{8B5EB8CF-6C47-4E83-B7E0-CF0541710B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175260</xdr:colOff>
      <xdr:row>5</xdr:row>
      <xdr:rowOff>15240</xdr:rowOff>
    </xdr:from>
    <xdr:to>
      <xdr:col>9</xdr:col>
      <xdr:colOff>30480</xdr:colOff>
      <xdr:row>21</xdr:row>
      <xdr:rowOff>167640</xdr:rowOff>
    </xdr:to>
    <xdr:graphicFrame macro="">
      <xdr:nvGraphicFramePr>
        <xdr:cNvPr id="4" name="Chart 3">
          <a:extLst>
            <a:ext uri="{FF2B5EF4-FFF2-40B4-BE49-F238E27FC236}">
              <a16:creationId xmlns:a16="http://schemas.microsoft.com/office/drawing/2014/main" id="{0C0D7CB5-B61C-41D3-8FBC-F2880E796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304800</xdr:colOff>
      <xdr:row>5</xdr:row>
      <xdr:rowOff>15240</xdr:rowOff>
    </xdr:from>
    <xdr:to>
      <xdr:col>18</xdr:col>
      <xdr:colOff>243840</xdr:colOff>
      <xdr:row>21</xdr:row>
      <xdr:rowOff>160020</xdr:rowOff>
    </xdr:to>
    <xdr:graphicFrame macro="">
      <xdr:nvGraphicFramePr>
        <xdr:cNvPr id="6" name="Chart 5">
          <a:extLst>
            <a:ext uri="{FF2B5EF4-FFF2-40B4-BE49-F238E27FC236}">
              <a16:creationId xmlns:a16="http://schemas.microsoft.com/office/drawing/2014/main" id="{A7E9E3B8-91B6-4ECC-B2C2-40C526402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190500</xdr:colOff>
      <xdr:row>24</xdr:row>
      <xdr:rowOff>22860</xdr:rowOff>
    </xdr:from>
    <xdr:to>
      <xdr:col>9</xdr:col>
      <xdr:colOff>38100</xdr:colOff>
      <xdr:row>42</xdr:row>
      <xdr:rowOff>121920</xdr:rowOff>
    </xdr:to>
    <xdr:graphicFrame macro="">
      <xdr:nvGraphicFramePr>
        <xdr:cNvPr id="8" name="Chart 7">
          <a:extLst>
            <a:ext uri="{FF2B5EF4-FFF2-40B4-BE49-F238E27FC236}">
              <a16:creationId xmlns:a16="http://schemas.microsoft.com/office/drawing/2014/main" id="{C906C621-43CD-4FD5-9F92-600869F63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342900</xdr:colOff>
      <xdr:row>24</xdr:row>
      <xdr:rowOff>38100</xdr:rowOff>
    </xdr:from>
    <xdr:to>
      <xdr:col>18</xdr:col>
      <xdr:colOff>266700</xdr:colOff>
      <xdr:row>42</xdr:row>
      <xdr:rowOff>114300</xdr:rowOff>
    </xdr:to>
    <xdr:graphicFrame macro="">
      <xdr:nvGraphicFramePr>
        <xdr:cNvPr id="10" name="Chart 9">
          <a:extLst>
            <a:ext uri="{FF2B5EF4-FFF2-40B4-BE49-F238E27FC236}">
              <a16:creationId xmlns:a16="http://schemas.microsoft.com/office/drawing/2014/main" id="{D06C1FA5-589C-4EC4-A06B-E4B239A22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198120</xdr:colOff>
      <xdr:row>45</xdr:row>
      <xdr:rowOff>30480</xdr:rowOff>
    </xdr:from>
    <xdr:to>
      <xdr:col>9</xdr:col>
      <xdr:colOff>45720</xdr:colOff>
      <xdr:row>62</xdr:row>
      <xdr:rowOff>68580</xdr:rowOff>
    </xdr:to>
    <xdr:graphicFrame macro="">
      <xdr:nvGraphicFramePr>
        <xdr:cNvPr id="11" name="Chart 10">
          <a:extLst>
            <a:ext uri="{FF2B5EF4-FFF2-40B4-BE49-F238E27FC236}">
              <a16:creationId xmlns:a16="http://schemas.microsoft.com/office/drawing/2014/main" id="{706B4ECA-2D05-4B63-9073-58C7FBE0C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0</xdr:colOff>
      <xdr:row>33</xdr:row>
      <xdr:rowOff>86361</xdr:rowOff>
    </xdr:from>
    <xdr:to>
      <xdr:col>22</xdr:col>
      <xdr:colOff>0</xdr:colOff>
      <xdr:row>39</xdr:row>
      <xdr:rowOff>152400</xdr:rowOff>
    </xdr:to>
    <mc:AlternateContent xmlns:mc="http://schemas.openxmlformats.org/markup-compatibility/2006" xmlns:a14="http://schemas.microsoft.com/office/drawing/2010/main">
      <mc:Choice Requires="a14">
        <xdr:graphicFrame macro="">
          <xdr:nvGraphicFramePr>
            <xdr:cNvPr id="12" name="city">
              <a:extLst>
                <a:ext uri="{FF2B5EF4-FFF2-40B4-BE49-F238E27FC236}">
                  <a16:creationId xmlns:a16="http://schemas.microsoft.com/office/drawing/2014/main" id="{F645BA4A-BB15-ADDF-4AF6-589252889CC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720286" y="6073504"/>
              <a:ext cx="1850571" cy="1154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601980</xdr:colOff>
      <xdr:row>25</xdr:row>
      <xdr:rowOff>119381</xdr:rowOff>
    </xdr:from>
    <xdr:to>
      <xdr:col>21</xdr:col>
      <xdr:colOff>601980</xdr:colOff>
      <xdr:row>32</xdr:row>
      <xdr:rowOff>38100</xdr:rowOff>
    </xdr:to>
    <mc:AlternateContent xmlns:mc="http://schemas.openxmlformats.org/markup-compatibility/2006" xmlns:a14="http://schemas.microsoft.com/office/drawing/2010/main">
      <mc:Choice Requires="a14">
        <xdr:graphicFrame macro="">
          <xdr:nvGraphicFramePr>
            <xdr:cNvPr id="13" name="Area">
              <a:extLst>
                <a:ext uri="{FF2B5EF4-FFF2-40B4-BE49-F238E27FC236}">
                  <a16:creationId xmlns:a16="http://schemas.microsoft.com/office/drawing/2014/main" id="{F5C7A37B-5FB4-A1A4-9286-8F8C8A403899}"/>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11705409" y="4655095"/>
              <a:ext cx="1850571" cy="1188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574040</xdr:colOff>
      <xdr:row>14</xdr:row>
      <xdr:rowOff>50800</xdr:rowOff>
    </xdr:from>
    <xdr:to>
      <xdr:col>21</xdr:col>
      <xdr:colOff>574040</xdr:colOff>
      <xdr:row>20</xdr:row>
      <xdr:rowOff>127000</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4ADB5238-8E51-DC49-FC2F-4D379F9E352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677469" y="2590800"/>
              <a:ext cx="1850571" cy="1164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558800</xdr:colOff>
      <xdr:row>5</xdr:row>
      <xdr:rowOff>172721</xdr:rowOff>
    </xdr:from>
    <xdr:to>
      <xdr:col>21</xdr:col>
      <xdr:colOff>558800</xdr:colOff>
      <xdr:row>12</xdr:row>
      <xdr:rowOff>76200</xdr:rowOff>
    </xdr:to>
    <mc:AlternateContent xmlns:mc="http://schemas.openxmlformats.org/markup-compatibility/2006" xmlns:a14="http://schemas.microsoft.com/office/drawing/2010/main">
      <mc:Choice Requires="a14">
        <xdr:graphicFrame macro="">
          <xdr:nvGraphicFramePr>
            <xdr:cNvPr id="15" name="Months (Order date)">
              <a:extLst>
                <a:ext uri="{FF2B5EF4-FFF2-40B4-BE49-F238E27FC236}">
                  <a16:creationId xmlns:a16="http://schemas.microsoft.com/office/drawing/2014/main" id="{367698EA-6B58-8F38-ECE2-77D77AD85EA8}"/>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1662229" y="1079864"/>
              <a:ext cx="1850571"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42887</xdr:colOff>
      <xdr:row>50</xdr:row>
      <xdr:rowOff>37807</xdr:rowOff>
    </xdr:from>
    <xdr:to>
      <xdr:col>19</xdr:col>
      <xdr:colOff>287949</xdr:colOff>
      <xdr:row>57</xdr:row>
      <xdr:rowOff>108927</xdr:rowOff>
    </xdr:to>
    <xdr:pic>
      <xdr:nvPicPr>
        <xdr:cNvPr id="17" name="Picture 16">
          <a:extLst>
            <a:ext uri="{FF2B5EF4-FFF2-40B4-BE49-F238E27FC236}">
              <a16:creationId xmlns:a16="http://schemas.microsoft.com/office/drawing/2014/main" id="{54DB87F7-25F4-B5E4-5598-5E3074F506C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732368" y="9196461"/>
          <a:ext cx="5110139" cy="135333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4.526161921298" createdVersion="8" refreshedVersion="8" minRefreshableVersion="3" recordCount="500" xr:uid="{B69A3A74-62A7-4816-9CD8-5E5C84F5EFCF}">
  <cacheSource type="worksheet">
    <worksheetSource ref="A1:S501" sheet="Uncleaned_Blinkit_Data"/>
  </cacheSource>
  <cacheFields count="21">
    <cacheField name="Order_ID" numFmtId="0">
      <sharedItems count="500">
        <s v="+"/>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haredItems>
    </cacheField>
    <cacheField name="Order date" numFmtId="164">
      <sharedItems containsSemiMixedTypes="0" containsNonDate="0" containsDate="1" containsString="0" minDate="2025-01-01T00:00:00" maxDate="2025-11-02T00:00:00" count="21">
        <d v="2025-01-08T00:00:00"/>
        <d v="2025-01-06T00:00:00"/>
        <d v="2025-02-01T00:00:00"/>
        <d v="2025-01-11T00:00:00"/>
        <d v="2025-11-01T00:00:00"/>
        <d v="2025-09-01T00:00:00"/>
        <d v="2025-10-01T00:00:00"/>
        <d v="2025-01-02T00:00:00"/>
        <d v="2025-01-09T00:00:00"/>
        <d v="2025-06-01T00:00:00"/>
        <d v="2025-08-01T00:00:00"/>
        <d v="2025-04-01T00:00:00"/>
        <d v="2025-07-01T00:00:00"/>
        <d v="2025-01-03T00:00:00"/>
        <d v="2025-01-01T00:00:00"/>
        <d v="2025-01-10T00:00:00"/>
        <d v="2025-01-05T00:00:00"/>
        <d v="2025-01-04T00:00:00"/>
        <d v="2025-01-07T00:00:00"/>
        <d v="2025-03-01T00:00:00"/>
        <d v="2025-05-01T00:00:00"/>
      </sharedItems>
      <fieldGroup par="20"/>
    </cacheField>
    <cacheField name="day name" numFmtId="0">
      <sharedItems count="7">
        <s v="Wed"/>
        <s v="Mon"/>
        <s v="Sat"/>
        <s v="Thu"/>
        <s v="Sun"/>
        <s v="Fri"/>
        <s v="Tue"/>
      </sharedItems>
    </cacheField>
    <cacheField name="weekday/weekend" numFmtId="0">
      <sharedItems count="2">
        <s v="Weekday"/>
        <s v="Weekend"/>
      </sharedItems>
    </cacheField>
    <cacheField name="Order_Time" numFmtId="165">
      <sharedItems containsSemiMixedTypes="0" containsNonDate="0" containsDate="1" containsString="0" minDate="1899-12-30T09:05:00" maxDate="1899-12-30T18:45:00"/>
    </cacheField>
    <cacheField name="Customer_ID" numFmtId="0">
      <sharedItems/>
    </cacheField>
    <cacheField name="city" numFmtId="0">
      <sharedItems count="7">
        <s v="Hyderabad"/>
        <s v="Bangalore"/>
        <s v="Pune"/>
        <s v="Delhi"/>
        <s v="Chennai"/>
        <s v="Kolkata"/>
        <s v="Mumbai"/>
      </sharedItems>
    </cacheField>
    <cacheField name="Area" numFmtId="0">
      <sharedItems count="8">
        <s v="Gachibowli"/>
        <s v="Dwarka"/>
        <s v="Velachery"/>
        <s v="Andheri"/>
        <s v="Hinjewadi"/>
        <s v="Whitefield"/>
        <s v="Kukatpally"/>
        <s v="Rohini"/>
      </sharedItems>
    </cacheField>
    <cacheField name="Product_Name" numFmtId="0">
      <sharedItems count="9">
        <s v="Curd"/>
        <s v="Banana"/>
        <s v="Milk 1L"/>
        <s v="Bread"/>
        <s v="Apple"/>
        <s v="Paneer"/>
        <s v="Potato"/>
        <s v="Rice 5kg"/>
        <s v="Chips"/>
      </sharedItems>
    </cacheField>
    <cacheField name="Category" numFmtId="0">
      <sharedItems count="6">
        <s v="Dairy"/>
        <s v="Fruits"/>
        <s v="Bakery"/>
        <s v="Vegetables"/>
        <s v="Grocery"/>
        <s v="Snacks"/>
      </sharedItems>
    </cacheField>
    <cacheField name="Quantity" numFmtId="0">
      <sharedItems containsSemiMixedTypes="0" containsString="0" containsNumber="1" containsInteger="1" minValue="1" maxValue="6"/>
    </cacheField>
    <cacheField name="Price_Per_Unit" numFmtId="0">
      <sharedItems containsSemiMixedTypes="0" containsString="0" containsNumber="1" containsInteger="1" minValue="10" maxValue="120"/>
    </cacheField>
    <cacheField name="Total_Product_Value" numFmtId="0">
      <sharedItems containsSemiMixedTypes="0" containsString="0" containsNumber="1" containsInteger="1" minValue="11" maxValue="720"/>
    </cacheField>
    <cacheField name="Discount_Applied" numFmtId="0">
      <sharedItems containsSemiMixedTypes="0" containsString="0" containsNumber="1" containsInteger="1" minValue="0" maxValue="10" count="3">
        <n v="10"/>
        <n v="0"/>
        <n v="5"/>
      </sharedItems>
    </cacheField>
    <cacheField name="Final_Payable_Amount" numFmtId="0">
      <sharedItems containsSemiMixedTypes="0" containsString="0" containsNumber="1" containsInteger="1" minValue="1" maxValue="715"/>
    </cacheField>
    <cacheField name="Payment_Mode" numFmtId="0">
      <sharedItems/>
    </cacheField>
    <cacheField name="Delivery_Time_Minutes" numFmtId="0">
      <sharedItems containsSemiMixedTypes="0" containsString="0" containsNumber="1" containsInteger="1" minValue="10" maxValue="60"/>
    </cacheField>
    <cacheField name="Delivery_Status" numFmtId="0">
      <sharedItems/>
    </cacheField>
    <cacheField name="Customer_Rating" numFmtId="0">
      <sharedItems containsString="0" containsBlank="1" containsNumber="1" containsInteger="1" minValue="1" maxValue="5"/>
    </cacheField>
    <cacheField name="Days (Order date)" numFmtId="0" databaseField="0">
      <fieldGroup base="1">
        <rangePr groupBy="days" startDate="2025-01-01T00:00:00" endDate="2025-11-02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2025"/>
        </groupItems>
      </fieldGroup>
    </cacheField>
    <cacheField name="Months (Order date)" numFmtId="0" databaseField="0">
      <fieldGroup base="1">
        <rangePr groupBy="months" startDate="2025-01-01T00:00:00" endDate="2025-11-02T00:00:00"/>
        <groupItems count="14">
          <s v="&lt;1/1/2025"/>
          <s v="Jan"/>
          <s v="Feb"/>
          <s v="Mar"/>
          <s v="Apr"/>
          <s v="May"/>
          <s v="Jun"/>
          <s v="Jul"/>
          <s v="Aug"/>
          <s v="Sep"/>
          <s v="Oct"/>
          <s v="Nov"/>
          <s v="Dec"/>
          <s v="&gt;11/2/2025"/>
        </groupItems>
      </fieldGroup>
    </cacheField>
  </cacheFields>
  <extLst>
    <ext xmlns:x14="http://schemas.microsoft.com/office/spreadsheetml/2009/9/main" uri="{725AE2AE-9491-48be-B2B4-4EB974FC3084}">
      <x14:pivotCacheDefinition pivotCacheId="16420172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d v="1899-12-30T18:15:00"/>
    <s v="C001"/>
    <x v="0"/>
    <x v="0"/>
    <x v="0"/>
    <x v="0"/>
    <n v="1"/>
    <n v="108"/>
    <n v="108"/>
    <x v="0"/>
    <n v="98"/>
    <s v="Wallet"/>
    <n v="16"/>
    <s v="Delivered"/>
    <n v="2"/>
  </r>
  <r>
    <x v="1"/>
    <x v="1"/>
    <x v="1"/>
    <x v="0"/>
    <d v="1899-12-30T09:05:00"/>
    <s v="C002"/>
    <x v="1"/>
    <x v="1"/>
    <x v="1"/>
    <x v="1"/>
    <n v="6"/>
    <n v="22"/>
    <n v="132"/>
    <x v="1"/>
    <n v="132"/>
    <s v="Upi"/>
    <n v="37"/>
    <s v="Delivered"/>
    <n v="4"/>
  </r>
  <r>
    <x v="2"/>
    <x v="2"/>
    <x v="2"/>
    <x v="1"/>
    <d v="1899-12-30T18:15:00"/>
    <s v="C003"/>
    <x v="2"/>
    <x v="2"/>
    <x v="2"/>
    <x v="0"/>
    <n v="6"/>
    <n v="77"/>
    <n v="462"/>
    <x v="0"/>
    <n v="452"/>
    <s v="Cod"/>
    <n v="23"/>
    <s v="Late"/>
    <m/>
  </r>
  <r>
    <x v="3"/>
    <x v="3"/>
    <x v="2"/>
    <x v="1"/>
    <d v="1899-12-30T18:15:00"/>
    <s v="C004"/>
    <x v="0"/>
    <x v="3"/>
    <x v="3"/>
    <x v="2"/>
    <n v="5"/>
    <n v="68"/>
    <n v="340"/>
    <x v="0"/>
    <n v="330"/>
    <s v="Card"/>
    <n v="37"/>
    <s v="Delivered"/>
    <n v="2"/>
  </r>
  <r>
    <x v="4"/>
    <x v="4"/>
    <x v="2"/>
    <x v="1"/>
    <d v="1899-12-30T18:45:00"/>
    <s v="C005"/>
    <x v="3"/>
    <x v="4"/>
    <x v="4"/>
    <x v="1"/>
    <n v="4"/>
    <n v="28"/>
    <n v="112"/>
    <x v="1"/>
    <n v="112"/>
    <s v="Card"/>
    <n v="26"/>
    <s v="Delivered"/>
    <n v="3"/>
  </r>
  <r>
    <x v="5"/>
    <x v="5"/>
    <x v="1"/>
    <x v="0"/>
    <d v="1899-12-30T18:45:00"/>
    <s v="C006"/>
    <x v="0"/>
    <x v="3"/>
    <x v="2"/>
    <x v="0"/>
    <n v="5"/>
    <n v="107"/>
    <n v="535"/>
    <x v="1"/>
    <n v="535"/>
    <s v="Wallet"/>
    <n v="31"/>
    <s v="Delivered"/>
    <n v="2"/>
  </r>
  <r>
    <x v="6"/>
    <x v="1"/>
    <x v="1"/>
    <x v="0"/>
    <d v="1899-12-30T18:45:00"/>
    <s v="C007"/>
    <x v="0"/>
    <x v="3"/>
    <x v="4"/>
    <x v="1"/>
    <n v="2"/>
    <n v="26"/>
    <n v="52"/>
    <x v="1"/>
    <n v="52"/>
    <s v="Cod"/>
    <n v="44"/>
    <s v="Late"/>
    <n v="3"/>
  </r>
  <r>
    <x v="7"/>
    <x v="2"/>
    <x v="2"/>
    <x v="1"/>
    <d v="1899-12-30T18:15:00"/>
    <s v="C008"/>
    <x v="4"/>
    <x v="4"/>
    <x v="5"/>
    <x v="0"/>
    <n v="1"/>
    <n v="15"/>
    <n v="15"/>
    <x v="1"/>
    <n v="15"/>
    <s v="Wallet"/>
    <n v="52"/>
    <s v="Delivered"/>
    <n v="2"/>
  </r>
  <r>
    <x v="8"/>
    <x v="6"/>
    <x v="0"/>
    <x v="0"/>
    <d v="1899-12-30T10:30:00"/>
    <s v="C009"/>
    <x v="1"/>
    <x v="5"/>
    <x v="1"/>
    <x v="1"/>
    <n v="5"/>
    <n v="98"/>
    <n v="490"/>
    <x v="0"/>
    <n v="480"/>
    <s v="Upi"/>
    <n v="52"/>
    <s v="Late"/>
    <n v="5"/>
  </r>
  <r>
    <x v="9"/>
    <x v="7"/>
    <x v="3"/>
    <x v="0"/>
    <d v="1899-12-30T18:15:00"/>
    <s v="C010"/>
    <x v="0"/>
    <x v="4"/>
    <x v="2"/>
    <x v="0"/>
    <n v="4"/>
    <n v="17"/>
    <n v="68"/>
    <x v="1"/>
    <n v="68"/>
    <s v="Upi"/>
    <n v="54"/>
    <s v="Delivered"/>
    <n v="4"/>
  </r>
  <r>
    <x v="10"/>
    <x v="8"/>
    <x v="3"/>
    <x v="0"/>
    <d v="1899-12-30T18:15:00"/>
    <s v="C011"/>
    <x v="0"/>
    <x v="5"/>
    <x v="3"/>
    <x v="2"/>
    <n v="6"/>
    <n v="107"/>
    <n v="642"/>
    <x v="1"/>
    <n v="642"/>
    <s v="Upi"/>
    <n v="14"/>
    <s v="Delivered"/>
    <n v="3"/>
  </r>
  <r>
    <x v="11"/>
    <x v="5"/>
    <x v="1"/>
    <x v="0"/>
    <d v="1899-12-30T10:30:00"/>
    <s v="C012"/>
    <x v="1"/>
    <x v="1"/>
    <x v="5"/>
    <x v="0"/>
    <n v="5"/>
    <n v="53"/>
    <n v="265"/>
    <x v="0"/>
    <n v="255"/>
    <s v="Cod"/>
    <n v="29"/>
    <s v="Late"/>
    <n v="1"/>
  </r>
  <r>
    <x v="12"/>
    <x v="9"/>
    <x v="4"/>
    <x v="1"/>
    <d v="1899-12-30T18:15:00"/>
    <s v="C013"/>
    <x v="0"/>
    <x v="6"/>
    <x v="3"/>
    <x v="2"/>
    <n v="5"/>
    <n v="116"/>
    <n v="580"/>
    <x v="1"/>
    <n v="580"/>
    <s v="Upi"/>
    <n v="39"/>
    <s v="Delivered"/>
    <m/>
  </r>
  <r>
    <x v="13"/>
    <x v="10"/>
    <x v="5"/>
    <x v="0"/>
    <d v="1899-12-30T18:15:00"/>
    <s v="C014"/>
    <x v="1"/>
    <x v="1"/>
    <x v="0"/>
    <x v="0"/>
    <n v="5"/>
    <n v="65"/>
    <n v="325"/>
    <x v="0"/>
    <n v="315"/>
    <s v="Wallet"/>
    <n v="36"/>
    <s v="Late"/>
    <n v="5"/>
  </r>
  <r>
    <x v="14"/>
    <x v="11"/>
    <x v="6"/>
    <x v="0"/>
    <d v="1899-12-30T18:45:00"/>
    <s v="C015"/>
    <x v="1"/>
    <x v="1"/>
    <x v="2"/>
    <x v="0"/>
    <n v="2"/>
    <n v="40"/>
    <n v="80"/>
    <x v="0"/>
    <n v="70"/>
    <s v="Wallet"/>
    <n v="46"/>
    <s v="Delivered"/>
    <n v="5"/>
  </r>
  <r>
    <x v="15"/>
    <x v="9"/>
    <x v="4"/>
    <x v="1"/>
    <d v="1899-12-30T09:05:00"/>
    <s v="C016"/>
    <x v="2"/>
    <x v="2"/>
    <x v="3"/>
    <x v="2"/>
    <n v="6"/>
    <n v="14"/>
    <n v="84"/>
    <x v="2"/>
    <n v="79"/>
    <s v="Cod"/>
    <n v="38"/>
    <s v="Delivered"/>
    <m/>
  </r>
  <r>
    <x v="16"/>
    <x v="11"/>
    <x v="6"/>
    <x v="0"/>
    <d v="1899-12-30T09:05:00"/>
    <s v="C017"/>
    <x v="4"/>
    <x v="7"/>
    <x v="6"/>
    <x v="3"/>
    <n v="6"/>
    <n v="64"/>
    <n v="384"/>
    <x v="0"/>
    <n v="374"/>
    <s v="Card"/>
    <n v="39"/>
    <s v="Delivered"/>
    <m/>
  </r>
  <r>
    <x v="17"/>
    <x v="3"/>
    <x v="2"/>
    <x v="1"/>
    <d v="1899-12-30T18:15:00"/>
    <s v="C018"/>
    <x v="4"/>
    <x v="3"/>
    <x v="4"/>
    <x v="1"/>
    <n v="1"/>
    <n v="68"/>
    <n v="68"/>
    <x v="1"/>
    <n v="68"/>
    <s v="Card"/>
    <n v="38"/>
    <s v="Delivered"/>
    <n v="5"/>
  </r>
  <r>
    <x v="18"/>
    <x v="0"/>
    <x v="0"/>
    <x v="0"/>
    <d v="1899-12-30T18:45:00"/>
    <s v="C019"/>
    <x v="5"/>
    <x v="5"/>
    <x v="4"/>
    <x v="1"/>
    <n v="5"/>
    <n v="12"/>
    <n v="60"/>
    <x v="1"/>
    <n v="60"/>
    <s v="Upi"/>
    <n v="25"/>
    <s v="Late"/>
    <n v="5"/>
  </r>
  <r>
    <x v="19"/>
    <x v="12"/>
    <x v="6"/>
    <x v="0"/>
    <d v="1899-12-30T18:15:00"/>
    <s v="C020"/>
    <x v="6"/>
    <x v="5"/>
    <x v="1"/>
    <x v="1"/>
    <n v="4"/>
    <n v="119"/>
    <n v="476"/>
    <x v="2"/>
    <n v="471"/>
    <s v="Upi"/>
    <n v="55"/>
    <s v="Late"/>
    <m/>
  </r>
  <r>
    <x v="20"/>
    <x v="13"/>
    <x v="5"/>
    <x v="0"/>
    <d v="1899-12-30T18:15:00"/>
    <s v="C021"/>
    <x v="6"/>
    <x v="5"/>
    <x v="3"/>
    <x v="2"/>
    <n v="6"/>
    <n v="64"/>
    <n v="384"/>
    <x v="2"/>
    <n v="379"/>
    <s v="Cod"/>
    <n v="16"/>
    <s v="Late"/>
    <n v="3"/>
  </r>
  <r>
    <x v="21"/>
    <x v="14"/>
    <x v="0"/>
    <x v="0"/>
    <d v="1899-12-30T18:45:00"/>
    <s v="C022"/>
    <x v="0"/>
    <x v="3"/>
    <x v="7"/>
    <x v="4"/>
    <n v="3"/>
    <n v="76"/>
    <n v="228"/>
    <x v="1"/>
    <n v="228"/>
    <s v="Card"/>
    <n v="53"/>
    <s v="Delivered"/>
    <n v="5"/>
  </r>
  <r>
    <x v="22"/>
    <x v="1"/>
    <x v="1"/>
    <x v="0"/>
    <d v="1899-12-30T10:30:00"/>
    <s v="C023"/>
    <x v="4"/>
    <x v="6"/>
    <x v="4"/>
    <x v="1"/>
    <n v="5"/>
    <n v="78"/>
    <n v="390"/>
    <x v="1"/>
    <n v="390"/>
    <s v="Cod"/>
    <n v="12"/>
    <s v="Late"/>
    <n v="3"/>
  </r>
  <r>
    <x v="23"/>
    <x v="2"/>
    <x v="2"/>
    <x v="1"/>
    <d v="1899-12-30T10:30:00"/>
    <s v="C024"/>
    <x v="5"/>
    <x v="4"/>
    <x v="3"/>
    <x v="2"/>
    <n v="3"/>
    <n v="105"/>
    <n v="325"/>
    <x v="1"/>
    <n v="315"/>
    <s v="Card"/>
    <n v="55"/>
    <s v="Late"/>
    <n v="2"/>
  </r>
  <r>
    <x v="24"/>
    <x v="10"/>
    <x v="5"/>
    <x v="0"/>
    <d v="1899-12-30T09:05:00"/>
    <s v="C025"/>
    <x v="1"/>
    <x v="6"/>
    <x v="6"/>
    <x v="3"/>
    <n v="5"/>
    <n v="67"/>
    <n v="335"/>
    <x v="2"/>
    <n v="330"/>
    <s v="Upi"/>
    <n v="38"/>
    <s v="Delivered"/>
    <m/>
  </r>
  <r>
    <x v="25"/>
    <x v="12"/>
    <x v="6"/>
    <x v="0"/>
    <d v="1899-12-30T09:05:00"/>
    <s v="C026"/>
    <x v="1"/>
    <x v="0"/>
    <x v="5"/>
    <x v="0"/>
    <n v="1"/>
    <n v="104"/>
    <n v="104"/>
    <x v="2"/>
    <n v="99"/>
    <s v="Upi"/>
    <n v="33"/>
    <s v="Delivered"/>
    <n v="4"/>
  </r>
  <r>
    <x v="26"/>
    <x v="11"/>
    <x v="6"/>
    <x v="0"/>
    <d v="1899-12-30T18:45:00"/>
    <s v="C027"/>
    <x v="4"/>
    <x v="0"/>
    <x v="8"/>
    <x v="5"/>
    <n v="5"/>
    <n v="20"/>
    <n v="110"/>
    <x v="2"/>
    <n v="95"/>
    <s v="Card"/>
    <n v="51"/>
    <s v="Delivered"/>
    <n v="1"/>
  </r>
  <r>
    <x v="27"/>
    <x v="14"/>
    <x v="0"/>
    <x v="0"/>
    <d v="1899-12-30T18:15:00"/>
    <s v="C028"/>
    <x v="5"/>
    <x v="2"/>
    <x v="7"/>
    <x v="4"/>
    <n v="2"/>
    <n v="50"/>
    <n v="100"/>
    <x v="0"/>
    <n v="90"/>
    <s v="Upi"/>
    <n v="51"/>
    <s v="Delivered"/>
    <n v="5"/>
  </r>
  <r>
    <x v="28"/>
    <x v="2"/>
    <x v="2"/>
    <x v="1"/>
    <d v="1899-12-30T18:15:00"/>
    <s v="C029"/>
    <x v="3"/>
    <x v="2"/>
    <x v="3"/>
    <x v="2"/>
    <n v="4"/>
    <n v="52"/>
    <n v="208"/>
    <x v="0"/>
    <n v="198"/>
    <s v="Wallet"/>
    <n v="49"/>
    <s v="Late"/>
    <n v="1"/>
  </r>
  <r>
    <x v="29"/>
    <x v="12"/>
    <x v="6"/>
    <x v="0"/>
    <d v="1899-12-30T18:45:00"/>
    <s v="C030"/>
    <x v="6"/>
    <x v="2"/>
    <x v="4"/>
    <x v="1"/>
    <n v="5"/>
    <n v="114"/>
    <n v="580"/>
    <x v="0"/>
    <n v="560"/>
    <s v="Wallet"/>
    <n v="46"/>
    <s v="Late"/>
    <n v="1"/>
  </r>
  <r>
    <x v="30"/>
    <x v="10"/>
    <x v="5"/>
    <x v="0"/>
    <d v="1899-12-30T09:05:00"/>
    <s v="C031"/>
    <x v="1"/>
    <x v="3"/>
    <x v="2"/>
    <x v="0"/>
    <n v="5"/>
    <n v="82"/>
    <n v="410"/>
    <x v="1"/>
    <n v="410"/>
    <s v="Wallet"/>
    <n v="24"/>
    <s v="Delivered"/>
    <n v="4"/>
  </r>
  <r>
    <x v="31"/>
    <x v="15"/>
    <x v="5"/>
    <x v="0"/>
    <d v="1899-12-30T10:30:00"/>
    <s v="C032"/>
    <x v="0"/>
    <x v="4"/>
    <x v="8"/>
    <x v="5"/>
    <n v="1"/>
    <n v="95"/>
    <n v="95"/>
    <x v="2"/>
    <n v="90"/>
    <s v="Upi"/>
    <n v="57"/>
    <s v="Late"/>
    <n v="2"/>
  </r>
  <r>
    <x v="32"/>
    <x v="16"/>
    <x v="4"/>
    <x v="1"/>
    <d v="1899-12-30T18:45:00"/>
    <s v="C033"/>
    <x v="2"/>
    <x v="3"/>
    <x v="6"/>
    <x v="3"/>
    <n v="2"/>
    <n v="32"/>
    <n v="64"/>
    <x v="1"/>
    <n v="64"/>
    <s v="Upi"/>
    <n v="34"/>
    <s v="Delivered"/>
    <m/>
  </r>
  <r>
    <x v="33"/>
    <x v="17"/>
    <x v="2"/>
    <x v="1"/>
    <d v="1899-12-30T09:05:00"/>
    <s v="C034"/>
    <x v="4"/>
    <x v="7"/>
    <x v="7"/>
    <x v="4"/>
    <n v="1"/>
    <n v="87"/>
    <n v="87"/>
    <x v="1"/>
    <n v="87"/>
    <s v="Upi"/>
    <n v="47"/>
    <s v="Delivered"/>
    <n v="2"/>
  </r>
  <r>
    <x v="34"/>
    <x v="12"/>
    <x v="6"/>
    <x v="0"/>
    <d v="1899-12-30T18:15:00"/>
    <s v="C035"/>
    <x v="4"/>
    <x v="0"/>
    <x v="4"/>
    <x v="1"/>
    <n v="5"/>
    <n v="36"/>
    <n v="180"/>
    <x v="1"/>
    <n v="180"/>
    <s v="Card"/>
    <n v="19"/>
    <s v="Delivered"/>
    <n v="5"/>
  </r>
  <r>
    <x v="35"/>
    <x v="12"/>
    <x v="6"/>
    <x v="0"/>
    <d v="1899-12-30T10:30:00"/>
    <s v="C036"/>
    <x v="6"/>
    <x v="0"/>
    <x v="6"/>
    <x v="3"/>
    <n v="2"/>
    <n v="52"/>
    <n v="104"/>
    <x v="1"/>
    <n v="104"/>
    <s v="Upi"/>
    <n v="53"/>
    <s v="Delivered"/>
    <n v="3"/>
  </r>
  <r>
    <x v="36"/>
    <x v="10"/>
    <x v="5"/>
    <x v="0"/>
    <d v="1899-12-30T10:30:00"/>
    <s v="C037"/>
    <x v="1"/>
    <x v="3"/>
    <x v="4"/>
    <x v="1"/>
    <n v="2"/>
    <n v="105"/>
    <n v="210"/>
    <x v="1"/>
    <n v="210"/>
    <s v="Upi"/>
    <n v="24"/>
    <s v="Late"/>
    <n v="1"/>
  </r>
  <r>
    <x v="37"/>
    <x v="18"/>
    <x v="6"/>
    <x v="0"/>
    <d v="1899-12-30T18:45:00"/>
    <s v="C038"/>
    <x v="4"/>
    <x v="5"/>
    <x v="6"/>
    <x v="3"/>
    <n v="4"/>
    <n v="85"/>
    <n v="350"/>
    <x v="2"/>
    <n v="335"/>
    <s v="Cod"/>
    <n v="36"/>
    <s v="Late"/>
    <n v="2"/>
  </r>
  <r>
    <x v="38"/>
    <x v="15"/>
    <x v="5"/>
    <x v="0"/>
    <d v="1899-12-30T18:45:00"/>
    <s v="C039"/>
    <x v="1"/>
    <x v="2"/>
    <x v="1"/>
    <x v="1"/>
    <n v="1"/>
    <n v="52"/>
    <n v="52"/>
    <x v="0"/>
    <n v="42"/>
    <s v="Upi"/>
    <n v="32"/>
    <s v="Late"/>
    <n v="2"/>
  </r>
  <r>
    <x v="39"/>
    <x v="16"/>
    <x v="4"/>
    <x v="1"/>
    <d v="1899-12-30T10:30:00"/>
    <s v="C040"/>
    <x v="4"/>
    <x v="7"/>
    <x v="7"/>
    <x v="4"/>
    <n v="4"/>
    <n v="98"/>
    <n v="392"/>
    <x v="0"/>
    <n v="382"/>
    <s v="Upi"/>
    <n v="15"/>
    <s v="Delivered"/>
    <n v="2"/>
  </r>
  <r>
    <x v="40"/>
    <x v="5"/>
    <x v="1"/>
    <x v="0"/>
    <d v="1899-12-30T18:15:00"/>
    <s v="C041"/>
    <x v="6"/>
    <x v="7"/>
    <x v="6"/>
    <x v="3"/>
    <n v="6"/>
    <n v="98"/>
    <n v="588"/>
    <x v="1"/>
    <n v="588"/>
    <s v="Upi"/>
    <n v="57"/>
    <s v="Delivered"/>
    <n v="4"/>
  </r>
  <r>
    <x v="41"/>
    <x v="19"/>
    <x v="2"/>
    <x v="1"/>
    <d v="1899-12-30T09:05:00"/>
    <s v="C042"/>
    <x v="5"/>
    <x v="0"/>
    <x v="0"/>
    <x v="0"/>
    <n v="6"/>
    <n v="84"/>
    <n v="504"/>
    <x v="1"/>
    <n v="504"/>
    <s v="Wallet"/>
    <n v="16"/>
    <s v="Late"/>
    <n v="2"/>
  </r>
  <r>
    <x v="42"/>
    <x v="20"/>
    <x v="3"/>
    <x v="0"/>
    <d v="1899-12-30T09:05:00"/>
    <s v="C043"/>
    <x v="0"/>
    <x v="5"/>
    <x v="7"/>
    <x v="4"/>
    <n v="5"/>
    <n v="69"/>
    <n v="345"/>
    <x v="1"/>
    <n v="345"/>
    <s v="Card"/>
    <n v="53"/>
    <s v="Delivered"/>
    <n v="2"/>
  </r>
  <r>
    <x v="43"/>
    <x v="1"/>
    <x v="1"/>
    <x v="0"/>
    <d v="1899-12-30T18:45:00"/>
    <s v="C044"/>
    <x v="2"/>
    <x v="5"/>
    <x v="6"/>
    <x v="3"/>
    <n v="1"/>
    <n v="63"/>
    <n v="63"/>
    <x v="1"/>
    <n v="63"/>
    <s v="Wallet"/>
    <n v="18"/>
    <s v="Delivered"/>
    <n v="1"/>
  </r>
  <r>
    <x v="44"/>
    <x v="10"/>
    <x v="5"/>
    <x v="0"/>
    <d v="1899-12-30T18:45:00"/>
    <s v="C045"/>
    <x v="0"/>
    <x v="3"/>
    <x v="6"/>
    <x v="3"/>
    <n v="1"/>
    <n v="79"/>
    <n v="79"/>
    <x v="0"/>
    <n v="69"/>
    <s v="Cod"/>
    <n v="54"/>
    <s v="Late"/>
    <n v="5"/>
  </r>
  <r>
    <x v="45"/>
    <x v="9"/>
    <x v="4"/>
    <x v="1"/>
    <d v="1899-12-30T18:45:00"/>
    <s v="C046"/>
    <x v="1"/>
    <x v="1"/>
    <x v="2"/>
    <x v="0"/>
    <n v="4"/>
    <n v="74"/>
    <n v="296"/>
    <x v="2"/>
    <n v="291"/>
    <s v="Upi"/>
    <n v="17"/>
    <s v="Late"/>
    <n v="4"/>
  </r>
  <r>
    <x v="46"/>
    <x v="6"/>
    <x v="0"/>
    <x v="0"/>
    <d v="1899-12-30T18:45:00"/>
    <s v="C047"/>
    <x v="0"/>
    <x v="2"/>
    <x v="0"/>
    <x v="0"/>
    <n v="2"/>
    <n v="103"/>
    <n v="206"/>
    <x v="0"/>
    <n v="196"/>
    <s v="Upi"/>
    <n v="32"/>
    <s v="Delivered"/>
    <n v="3"/>
  </r>
  <r>
    <x v="47"/>
    <x v="19"/>
    <x v="2"/>
    <x v="1"/>
    <d v="1899-12-30T10:30:00"/>
    <s v="C048"/>
    <x v="0"/>
    <x v="4"/>
    <x v="8"/>
    <x v="5"/>
    <n v="5"/>
    <n v="70"/>
    <n v="350"/>
    <x v="0"/>
    <n v="340"/>
    <s v="Upi"/>
    <n v="44"/>
    <s v="Late"/>
    <n v="5"/>
  </r>
  <r>
    <x v="48"/>
    <x v="11"/>
    <x v="6"/>
    <x v="0"/>
    <d v="1899-12-30T10:30:00"/>
    <s v="C049"/>
    <x v="2"/>
    <x v="2"/>
    <x v="2"/>
    <x v="0"/>
    <n v="2"/>
    <n v="11"/>
    <n v="22"/>
    <x v="1"/>
    <n v="22"/>
    <s v="Wallet"/>
    <n v="26"/>
    <s v="Delivered"/>
    <n v="5"/>
  </r>
  <r>
    <x v="49"/>
    <x v="2"/>
    <x v="2"/>
    <x v="1"/>
    <d v="1899-12-30T18:45:00"/>
    <s v="C050"/>
    <x v="1"/>
    <x v="1"/>
    <x v="4"/>
    <x v="1"/>
    <n v="6"/>
    <n v="35"/>
    <n v="210"/>
    <x v="1"/>
    <n v="210"/>
    <s v="Upi"/>
    <n v="60"/>
    <s v="Late"/>
    <n v="5"/>
  </r>
  <r>
    <x v="50"/>
    <x v="6"/>
    <x v="0"/>
    <x v="0"/>
    <d v="1899-12-30T09:05:00"/>
    <s v="C051"/>
    <x v="1"/>
    <x v="1"/>
    <x v="2"/>
    <x v="0"/>
    <n v="6"/>
    <n v="39"/>
    <n v="234"/>
    <x v="0"/>
    <n v="224"/>
    <s v="Upi"/>
    <n v="10"/>
    <s v="Late"/>
    <n v="1"/>
  </r>
  <r>
    <x v="51"/>
    <x v="8"/>
    <x v="3"/>
    <x v="0"/>
    <d v="1899-12-30T10:30:00"/>
    <s v="C052"/>
    <x v="1"/>
    <x v="2"/>
    <x v="2"/>
    <x v="0"/>
    <n v="4"/>
    <n v="64"/>
    <n v="256"/>
    <x v="2"/>
    <n v="251"/>
    <s v="Card"/>
    <n v="17"/>
    <s v="Late"/>
    <n v="4"/>
  </r>
  <r>
    <x v="52"/>
    <x v="4"/>
    <x v="2"/>
    <x v="1"/>
    <d v="1899-12-30T18:45:00"/>
    <s v="C053"/>
    <x v="5"/>
    <x v="3"/>
    <x v="6"/>
    <x v="3"/>
    <n v="6"/>
    <n v="87"/>
    <n v="522"/>
    <x v="0"/>
    <n v="512"/>
    <s v="Upi"/>
    <n v="11"/>
    <s v="Late"/>
    <n v="5"/>
  </r>
  <r>
    <x v="53"/>
    <x v="11"/>
    <x v="6"/>
    <x v="0"/>
    <d v="1899-12-30T10:30:00"/>
    <s v="C054"/>
    <x v="6"/>
    <x v="5"/>
    <x v="8"/>
    <x v="5"/>
    <n v="2"/>
    <n v="49"/>
    <n v="98"/>
    <x v="1"/>
    <n v="98"/>
    <s v="Card"/>
    <n v="33"/>
    <s v="Late"/>
    <n v="1"/>
  </r>
  <r>
    <x v="54"/>
    <x v="3"/>
    <x v="2"/>
    <x v="1"/>
    <d v="1899-12-30T09:05:00"/>
    <s v="C055"/>
    <x v="1"/>
    <x v="3"/>
    <x v="6"/>
    <x v="3"/>
    <n v="4"/>
    <n v="94"/>
    <n v="376"/>
    <x v="1"/>
    <n v="376"/>
    <s v="Wallet"/>
    <n v="16"/>
    <s v="Delivered"/>
    <n v="5"/>
  </r>
  <r>
    <x v="55"/>
    <x v="19"/>
    <x v="2"/>
    <x v="1"/>
    <d v="1899-12-30T18:45:00"/>
    <s v="C056"/>
    <x v="4"/>
    <x v="1"/>
    <x v="2"/>
    <x v="0"/>
    <n v="6"/>
    <n v="10"/>
    <n v="60"/>
    <x v="0"/>
    <n v="50"/>
    <s v="Upi"/>
    <n v="22"/>
    <s v="Late"/>
    <n v="5"/>
  </r>
  <r>
    <x v="56"/>
    <x v="5"/>
    <x v="1"/>
    <x v="0"/>
    <d v="1899-12-30T18:15:00"/>
    <s v="C057"/>
    <x v="0"/>
    <x v="1"/>
    <x v="0"/>
    <x v="0"/>
    <n v="4"/>
    <n v="107"/>
    <n v="428"/>
    <x v="2"/>
    <n v="423"/>
    <s v="Upi"/>
    <n v="42"/>
    <s v="Delivered"/>
    <m/>
  </r>
  <r>
    <x v="57"/>
    <x v="2"/>
    <x v="2"/>
    <x v="1"/>
    <d v="1899-12-30T10:30:00"/>
    <s v="C058"/>
    <x v="0"/>
    <x v="6"/>
    <x v="2"/>
    <x v="0"/>
    <n v="3"/>
    <n v="95"/>
    <n v="285"/>
    <x v="0"/>
    <n v="275"/>
    <s v="Upi"/>
    <n v="53"/>
    <s v="Late"/>
    <n v="4"/>
  </r>
  <r>
    <x v="58"/>
    <x v="8"/>
    <x v="3"/>
    <x v="0"/>
    <d v="1899-12-30T18:45:00"/>
    <s v="C059"/>
    <x v="1"/>
    <x v="3"/>
    <x v="1"/>
    <x v="1"/>
    <n v="1"/>
    <n v="82"/>
    <n v="82"/>
    <x v="1"/>
    <n v="82"/>
    <s v="Upi"/>
    <n v="51"/>
    <s v="Delivered"/>
    <m/>
  </r>
  <r>
    <x v="59"/>
    <x v="16"/>
    <x v="4"/>
    <x v="1"/>
    <d v="1899-12-30T18:15:00"/>
    <s v="C060"/>
    <x v="0"/>
    <x v="2"/>
    <x v="8"/>
    <x v="5"/>
    <n v="3"/>
    <n v="111"/>
    <n v="333"/>
    <x v="0"/>
    <n v="323"/>
    <s v="Card"/>
    <n v="16"/>
    <s v="Delivered"/>
    <n v="2"/>
  </r>
  <r>
    <x v="60"/>
    <x v="16"/>
    <x v="4"/>
    <x v="1"/>
    <d v="1899-12-30T18:15:00"/>
    <s v="C061"/>
    <x v="2"/>
    <x v="6"/>
    <x v="1"/>
    <x v="1"/>
    <n v="1"/>
    <n v="79"/>
    <n v="79"/>
    <x v="1"/>
    <n v="79"/>
    <s v="Upi"/>
    <n v="38"/>
    <s v="Late"/>
    <n v="4"/>
  </r>
  <r>
    <x v="61"/>
    <x v="5"/>
    <x v="1"/>
    <x v="0"/>
    <d v="1899-12-30T10:30:00"/>
    <s v="C062"/>
    <x v="1"/>
    <x v="2"/>
    <x v="8"/>
    <x v="5"/>
    <n v="5"/>
    <n v="98"/>
    <n v="490"/>
    <x v="1"/>
    <n v="490"/>
    <s v="Wallet"/>
    <n v="33"/>
    <s v="Late"/>
    <n v="5"/>
  </r>
  <r>
    <x v="62"/>
    <x v="20"/>
    <x v="3"/>
    <x v="0"/>
    <d v="1899-12-30T09:05:00"/>
    <s v="C063"/>
    <x v="1"/>
    <x v="2"/>
    <x v="1"/>
    <x v="1"/>
    <n v="1"/>
    <n v="88"/>
    <n v="88"/>
    <x v="1"/>
    <n v="88"/>
    <s v="Cod"/>
    <n v="11"/>
    <s v="Delivered"/>
    <m/>
  </r>
  <r>
    <x v="63"/>
    <x v="2"/>
    <x v="2"/>
    <x v="1"/>
    <d v="1899-12-30T18:45:00"/>
    <s v="C064"/>
    <x v="1"/>
    <x v="7"/>
    <x v="4"/>
    <x v="1"/>
    <n v="4"/>
    <n v="47"/>
    <n v="188"/>
    <x v="2"/>
    <n v="183"/>
    <s v="Cod"/>
    <n v="55"/>
    <s v="Late"/>
    <n v="2"/>
  </r>
  <r>
    <x v="64"/>
    <x v="19"/>
    <x v="2"/>
    <x v="1"/>
    <d v="1899-12-30T18:45:00"/>
    <s v="C065"/>
    <x v="4"/>
    <x v="2"/>
    <x v="8"/>
    <x v="5"/>
    <n v="4"/>
    <n v="19"/>
    <n v="76"/>
    <x v="1"/>
    <n v="76"/>
    <s v="Wallet"/>
    <n v="55"/>
    <s v="Late"/>
    <n v="2"/>
  </r>
  <r>
    <x v="65"/>
    <x v="9"/>
    <x v="4"/>
    <x v="1"/>
    <d v="1899-12-30T09:05:00"/>
    <s v="C066"/>
    <x v="3"/>
    <x v="3"/>
    <x v="7"/>
    <x v="4"/>
    <n v="1"/>
    <n v="87"/>
    <n v="87"/>
    <x v="0"/>
    <n v="77"/>
    <s v="Upi"/>
    <n v="39"/>
    <s v="Delivered"/>
    <n v="3"/>
  </r>
  <r>
    <x v="66"/>
    <x v="5"/>
    <x v="1"/>
    <x v="0"/>
    <d v="1899-12-30T18:15:00"/>
    <s v="C067"/>
    <x v="1"/>
    <x v="5"/>
    <x v="3"/>
    <x v="2"/>
    <n v="5"/>
    <n v="10"/>
    <n v="50"/>
    <x v="0"/>
    <n v="40"/>
    <s v="Cod"/>
    <n v="32"/>
    <s v="Late"/>
    <n v="2"/>
  </r>
  <r>
    <x v="67"/>
    <x v="2"/>
    <x v="2"/>
    <x v="1"/>
    <d v="1899-12-30T09:05:00"/>
    <s v="C068"/>
    <x v="0"/>
    <x v="7"/>
    <x v="2"/>
    <x v="0"/>
    <n v="3"/>
    <n v="109"/>
    <n v="327"/>
    <x v="2"/>
    <n v="322"/>
    <s v="Card"/>
    <n v="30"/>
    <s v="Late"/>
    <n v="2"/>
  </r>
  <r>
    <x v="68"/>
    <x v="11"/>
    <x v="6"/>
    <x v="0"/>
    <d v="1899-12-30T18:45:00"/>
    <s v="C069"/>
    <x v="1"/>
    <x v="5"/>
    <x v="1"/>
    <x v="1"/>
    <n v="6"/>
    <n v="62"/>
    <n v="372"/>
    <x v="1"/>
    <n v="372"/>
    <s v="Upi"/>
    <n v="20"/>
    <s v="Late"/>
    <n v="5"/>
  </r>
  <r>
    <x v="69"/>
    <x v="2"/>
    <x v="2"/>
    <x v="1"/>
    <d v="1899-12-30T18:45:00"/>
    <s v="C070"/>
    <x v="5"/>
    <x v="4"/>
    <x v="3"/>
    <x v="2"/>
    <n v="5"/>
    <n v="114"/>
    <n v="570"/>
    <x v="0"/>
    <n v="560"/>
    <s v="Cod"/>
    <n v="27"/>
    <s v="Delivered"/>
    <n v="1"/>
  </r>
  <r>
    <x v="70"/>
    <x v="14"/>
    <x v="0"/>
    <x v="0"/>
    <d v="1899-12-30T10:30:00"/>
    <s v="C071"/>
    <x v="1"/>
    <x v="7"/>
    <x v="1"/>
    <x v="1"/>
    <n v="3"/>
    <n v="35"/>
    <n v="105"/>
    <x v="2"/>
    <n v="100"/>
    <s v="Upi"/>
    <n v="35"/>
    <s v="Delivered"/>
    <n v="4"/>
  </r>
  <r>
    <x v="71"/>
    <x v="19"/>
    <x v="2"/>
    <x v="1"/>
    <d v="1899-12-30T18:15:00"/>
    <s v="C072"/>
    <x v="1"/>
    <x v="3"/>
    <x v="2"/>
    <x v="0"/>
    <n v="3"/>
    <n v="77"/>
    <n v="231"/>
    <x v="1"/>
    <n v="231"/>
    <s v="Cod"/>
    <n v="22"/>
    <s v="Late"/>
    <n v="1"/>
  </r>
  <r>
    <x v="72"/>
    <x v="5"/>
    <x v="1"/>
    <x v="0"/>
    <d v="1899-12-30T10:30:00"/>
    <s v="C073"/>
    <x v="6"/>
    <x v="5"/>
    <x v="3"/>
    <x v="2"/>
    <n v="4"/>
    <n v="24"/>
    <n v="96"/>
    <x v="2"/>
    <n v="91"/>
    <s v="Cod"/>
    <n v="43"/>
    <s v="Late"/>
    <n v="4"/>
  </r>
  <r>
    <x v="73"/>
    <x v="10"/>
    <x v="5"/>
    <x v="0"/>
    <d v="1899-12-30T18:45:00"/>
    <s v="C074"/>
    <x v="6"/>
    <x v="2"/>
    <x v="4"/>
    <x v="1"/>
    <n v="2"/>
    <n v="35"/>
    <n v="70"/>
    <x v="2"/>
    <n v="65"/>
    <s v="Cod"/>
    <n v="38"/>
    <s v="Late"/>
    <n v="1"/>
  </r>
  <r>
    <x v="74"/>
    <x v="3"/>
    <x v="2"/>
    <x v="1"/>
    <d v="1899-12-30T18:45:00"/>
    <s v="C075"/>
    <x v="1"/>
    <x v="6"/>
    <x v="4"/>
    <x v="1"/>
    <n v="4"/>
    <n v="99"/>
    <n v="396"/>
    <x v="1"/>
    <n v="396"/>
    <s v="Wallet"/>
    <n v="12"/>
    <s v="Late"/>
    <n v="4"/>
  </r>
  <r>
    <x v="75"/>
    <x v="1"/>
    <x v="1"/>
    <x v="0"/>
    <d v="1899-12-30T09:05:00"/>
    <s v="C076"/>
    <x v="6"/>
    <x v="6"/>
    <x v="1"/>
    <x v="1"/>
    <n v="1"/>
    <n v="64"/>
    <n v="64"/>
    <x v="2"/>
    <n v="59"/>
    <s v="Cod"/>
    <n v="29"/>
    <s v="Delivered"/>
    <m/>
  </r>
  <r>
    <x v="76"/>
    <x v="4"/>
    <x v="2"/>
    <x v="1"/>
    <d v="1899-12-30T09:05:00"/>
    <s v="C077"/>
    <x v="0"/>
    <x v="0"/>
    <x v="7"/>
    <x v="4"/>
    <n v="4"/>
    <n v="66"/>
    <n v="264"/>
    <x v="0"/>
    <n v="254"/>
    <s v="Card"/>
    <n v="31"/>
    <s v="Delivered"/>
    <n v="3"/>
  </r>
  <r>
    <x v="77"/>
    <x v="11"/>
    <x v="6"/>
    <x v="0"/>
    <d v="1899-12-30T09:05:00"/>
    <s v="C078"/>
    <x v="6"/>
    <x v="2"/>
    <x v="8"/>
    <x v="5"/>
    <n v="1"/>
    <n v="120"/>
    <n v="120"/>
    <x v="1"/>
    <n v="120"/>
    <s v="Upi"/>
    <n v="12"/>
    <s v="Delivered"/>
    <n v="3"/>
  </r>
  <r>
    <x v="78"/>
    <x v="1"/>
    <x v="1"/>
    <x v="0"/>
    <d v="1899-12-30T18:45:00"/>
    <s v="C079"/>
    <x v="1"/>
    <x v="4"/>
    <x v="2"/>
    <x v="0"/>
    <n v="2"/>
    <n v="117"/>
    <n v="234"/>
    <x v="1"/>
    <n v="234"/>
    <s v="Upi"/>
    <n v="51"/>
    <s v="Delivered"/>
    <m/>
  </r>
  <r>
    <x v="79"/>
    <x v="20"/>
    <x v="3"/>
    <x v="0"/>
    <d v="1899-12-30T18:45:00"/>
    <s v="C080"/>
    <x v="5"/>
    <x v="1"/>
    <x v="5"/>
    <x v="0"/>
    <n v="2"/>
    <n v="10"/>
    <n v="20"/>
    <x v="2"/>
    <n v="15"/>
    <s v="Upi"/>
    <n v="51"/>
    <s v="Late"/>
    <m/>
  </r>
  <r>
    <x v="80"/>
    <x v="11"/>
    <x v="6"/>
    <x v="0"/>
    <d v="1899-12-30T10:30:00"/>
    <s v="C081"/>
    <x v="5"/>
    <x v="7"/>
    <x v="8"/>
    <x v="5"/>
    <n v="5"/>
    <n v="52"/>
    <n v="270"/>
    <x v="2"/>
    <n v="255"/>
    <s v="Upi"/>
    <n v="48"/>
    <s v="Late"/>
    <n v="3"/>
  </r>
  <r>
    <x v="81"/>
    <x v="2"/>
    <x v="2"/>
    <x v="1"/>
    <d v="1899-12-30T10:30:00"/>
    <s v="C082"/>
    <x v="0"/>
    <x v="6"/>
    <x v="0"/>
    <x v="0"/>
    <n v="5"/>
    <n v="63"/>
    <n v="315"/>
    <x v="1"/>
    <n v="315"/>
    <s v="Wallet"/>
    <n v="32"/>
    <s v="Delivered"/>
    <n v="2"/>
  </r>
  <r>
    <x v="82"/>
    <x v="7"/>
    <x v="3"/>
    <x v="0"/>
    <d v="1899-12-30T18:45:00"/>
    <s v="C083"/>
    <x v="1"/>
    <x v="0"/>
    <x v="2"/>
    <x v="0"/>
    <n v="2"/>
    <n v="80"/>
    <n v="160"/>
    <x v="0"/>
    <n v="150"/>
    <s v="Wallet"/>
    <n v="28"/>
    <s v="Late"/>
    <n v="1"/>
  </r>
  <r>
    <x v="83"/>
    <x v="2"/>
    <x v="2"/>
    <x v="1"/>
    <d v="1899-12-30T10:30:00"/>
    <s v="C084"/>
    <x v="3"/>
    <x v="5"/>
    <x v="5"/>
    <x v="0"/>
    <n v="4"/>
    <n v="85"/>
    <n v="340"/>
    <x v="0"/>
    <n v="330"/>
    <s v="Upi"/>
    <n v="18"/>
    <s v="Late"/>
    <n v="4"/>
  </r>
  <r>
    <x v="84"/>
    <x v="15"/>
    <x v="5"/>
    <x v="0"/>
    <d v="1899-12-30T09:05:00"/>
    <s v="C085"/>
    <x v="6"/>
    <x v="2"/>
    <x v="5"/>
    <x v="0"/>
    <n v="5"/>
    <n v="108"/>
    <n v="540"/>
    <x v="1"/>
    <n v="540"/>
    <s v="Cod"/>
    <n v="24"/>
    <s v="Delivered"/>
    <n v="2"/>
  </r>
  <r>
    <x v="85"/>
    <x v="5"/>
    <x v="1"/>
    <x v="0"/>
    <d v="1899-12-30T10:30:00"/>
    <s v="C086"/>
    <x v="3"/>
    <x v="4"/>
    <x v="8"/>
    <x v="5"/>
    <n v="3"/>
    <n v="69"/>
    <n v="207"/>
    <x v="1"/>
    <n v="207"/>
    <s v="Card"/>
    <n v="32"/>
    <s v="Late"/>
    <n v="3"/>
  </r>
  <r>
    <x v="86"/>
    <x v="3"/>
    <x v="2"/>
    <x v="1"/>
    <d v="1899-12-30T18:15:00"/>
    <s v="C087"/>
    <x v="0"/>
    <x v="4"/>
    <x v="0"/>
    <x v="0"/>
    <n v="2"/>
    <n v="89"/>
    <n v="178"/>
    <x v="2"/>
    <n v="173"/>
    <s v="Upi"/>
    <n v="15"/>
    <s v="Late"/>
    <m/>
  </r>
  <r>
    <x v="87"/>
    <x v="2"/>
    <x v="2"/>
    <x v="1"/>
    <d v="1899-12-30T10:30:00"/>
    <s v="C088"/>
    <x v="1"/>
    <x v="3"/>
    <x v="4"/>
    <x v="1"/>
    <n v="3"/>
    <n v="21"/>
    <n v="63"/>
    <x v="0"/>
    <n v="53"/>
    <s v="Wallet"/>
    <n v="54"/>
    <s v="Late"/>
    <n v="2"/>
  </r>
  <r>
    <x v="88"/>
    <x v="6"/>
    <x v="0"/>
    <x v="0"/>
    <d v="1899-12-30T18:15:00"/>
    <s v="C089"/>
    <x v="1"/>
    <x v="0"/>
    <x v="8"/>
    <x v="5"/>
    <n v="6"/>
    <n v="79"/>
    <n v="474"/>
    <x v="0"/>
    <n v="464"/>
    <s v="Card"/>
    <n v="44"/>
    <s v="Late"/>
    <n v="1"/>
  </r>
  <r>
    <x v="89"/>
    <x v="9"/>
    <x v="4"/>
    <x v="1"/>
    <d v="1899-12-30T09:05:00"/>
    <s v="C090"/>
    <x v="2"/>
    <x v="4"/>
    <x v="2"/>
    <x v="0"/>
    <n v="6"/>
    <n v="35"/>
    <n v="210"/>
    <x v="2"/>
    <n v="205"/>
    <s v="Cod"/>
    <n v="17"/>
    <s v="Delivered"/>
    <n v="2"/>
  </r>
  <r>
    <x v="90"/>
    <x v="17"/>
    <x v="2"/>
    <x v="1"/>
    <d v="1899-12-30T18:15:00"/>
    <s v="C091"/>
    <x v="3"/>
    <x v="3"/>
    <x v="3"/>
    <x v="2"/>
    <n v="6"/>
    <n v="44"/>
    <n v="264"/>
    <x v="2"/>
    <n v="259"/>
    <s v="Cod"/>
    <n v="46"/>
    <s v="Delivered"/>
    <n v="3"/>
  </r>
  <r>
    <x v="91"/>
    <x v="20"/>
    <x v="3"/>
    <x v="0"/>
    <d v="1899-12-30T18:45:00"/>
    <s v="C092"/>
    <x v="1"/>
    <x v="3"/>
    <x v="1"/>
    <x v="1"/>
    <n v="5"/>
    <n v="81"/>
    <n v="405"/>
    <x v="1"/>
    <n v="405"/>
    <s v="Card"/>
    <n v="29"/>
    <s v="Late"/>
    <n v="3"/>
  </r>
  <r>
    <x v="92"/>
    <x v="7"/>
    <x v="3"/>
    <x v="0"/>
    <d v="1899-12-30T10:30:00"/>
    <s v="C093"/>
    <x v="2"/>
    <x v="0"/>
    <x v="7"/>
    <x v="4"/>
    <n v="2"/>
    <n v="34"/>
    <n v="68"/>
    <x v="1"/>
    <n v="68"/>
    <s v="Upi"/>
    <n v="17"/>
    <s v="Late"/>
    <n v="3"/>
  </r>
  <r>
    <x v="93"/>
    <x v="14"/>
    <x v="0"/>
    <x v="0"/>
    <d v="1899-12-30T10:30:00"/>
    <s v="C094"/>
    <x v="6"/>
    <x v="5"/>
    <x v="3"/>
    <x v="2"/>
    <n v="6"/>
    <n v="39"/>
    <n v="234"/>
    <x v="1"/>
    <n v="234"/>
    <s v="Upi"/>
    <n v="12"/>
    <s v="Delivered"/>
    <n v="5"/>
  </r>
  <r>
    <x v="94"/>
    <x v="12"/>
    <x v="6"/>
    <x v="0"/>
    <d v="1899-12-30T10:30:00"/>
    <s v="C095"/>
    <x v="1"/>
    <x v="4"/>
    <x v="3"/>
    <x v="2"/>
    <n v="5"/>
    <n v="42"/>
    <n v="210"/>
    <x v="1"/>
    <n v="210"/>
    <s v="Cod"/>
    <n v="39"/>
    <s v="Delivered"/>
    <n v="5"/>
  </r>
  <r>
    <x v="95"/>
    <x v="16"/>
    <x v="4"/>
    <x v="1"/>
    <d v="1899-12-30T09:05:00"/>
    <s v="C096"/>
    <x v="2"/>
    <x v="7"/>
    <x v="1"/>
    <x v="1"/>
    <n v="4"/>
    <n v="44"/>
    <n v="176"/>
    <x v="0"/>
    <n v="166"/>
    <s v="Upi"/>
    <n v="27"/>
    <s v="Late"/>
    <n v="5"/>
  </r>
  <r>
    <x v="96"/>
    <x v="11"/>
    <x v="6"/>
    <x v="0"/>
    <d v="1899-12-30T09:05:00"/>
    <s v="C097"/>
    <x v="5"/>
    <x v="3"/>
    <x v="8"/>
    <x v="5"/>
    <n v="5"/>
    <n v="91"/>
    <n v="455"/>
    <x v="2"/>
    <n v="450"/>
    <s v="Cod"/>
    <n v="12"/>
    <s v="Late"/>
    <n v="2"/>
  </r>
  <r>
    <x v="97"/>
    <x v="6"/>
    <x v="0"/>
    <x v="0"/>
    <d v="1899-12-30T10:30:00"/>
    <s v="C098"/>
    <x v="1"/>
    <x v="0"/>
    <x v="3"/>
    <x v="2"/>
    <n v="5"/>
    <n v="58"/>
    <n v="290"/>
    <x v="0"/>
    <n v="280"/>
    <s v="Wallet"/>
    <n v="43"/>
    <s v="Late"/>
    <n v="2"/>
  </r>
  <r>
    <x v="98"/>
    <x v="16"/>
    <x v="4"/>
    <x v="1"/>
    <d v="1899-12-30T10:30:00"/>
    <s v="C099"/>
    <x v="6"/>
    <x v="1"/>
    <x v="5"/>
    <x v="0"/>
    <n v="1"/>
    <n v="111"/>
    <n v="111"/>
    <x v="1"/>
    <n v="111"/>
    <s v="Upi"/>
    <n v="18"/>
    <s v="Late"/>
    <n v="1"/>
  </r>
  <r>
    <x v="99"/>
    <x v="1"/>
    <x v="1"/>
    <x v="0"/>
    <d v="1899-12-30T18:45:00"/>
    <s v="C100"/>
    <x v="1"/>
    <x v="6"/>
    <x v="3"/>
    <x v="2"/>
    <n v="4"/>
    <n v="24"/>
    <n v="96"/>
    <x v="1"/>
    <n v="96"/>
    <s v="Upi"/>
    <n v="47"/>
    <s v="Delivered"/>
    <n v="4"/>
  </r>
  <r>
    <x v="100"/>
    <x v="5"/>
    <x v="1"/>
    <x v="0"/>
    <d v="1899-12-30T09:05:00"/>
    <s v="C101"/>
    <x v="0"/>
    <x v="0"/>
    <x v="1"/>
    <x v="1"/>
    <n v="3"/>
    <n v="25"/>
    <n v="75"/>
    <x v="1"/>
    <n v="75"/>
    <s v="Cod"/>
    <n v="21"/>
    <s v="Delivered"/>
    <n v="2"/>
  </r>
  <r>
    <x v="101"/>
    <x v="5"/>
    <x v="1"/>
    <x v="0"/>
    <d v="1899-12-30T09:05:00"/>
    <s v="C102"/>
    <x v="6"/>
    <x v="6"/>
    <x v="3"/>
    <x v="2"/>
    <n v="6"/>
    <n v="103"/>
    <n v="618"/>
    <x v="1"/>
    <n v="618"/>
    <s v="Card"/>
    <n v="35"/>
    <s v="Late"/>
    <n v="1"/>
  </r>
  <r>
    <x v="102"/>
    <x v="16"/>
    <x v="4"/>
    <x v="1"/>
    <d v="1899-12-30T09:05:00"/>
    <s v="C103"/>
    <x v="4"/>
    <x v="1"/>
    <x v="1"/>
    <x v="1"/>
    <n v="4"/>
    <n v="59"/>
    <n v="236"/>
    <x v="1"/>
    <n v="236"/>
    <s v="Upi"/>
    <n v="27"/>
    <s v="Delivered"/>
    <m/>
  </r>
  <r>
    <x v="103"/>
    <x v="3"/>
    <x v="2"/>
    <x v="1"/>
    <d v="1899-12-30T18:15:00"/>
    <s v="C104"/>
    <x v="2"/>
    <x v="7"/>
    <x v="0"/>
    <x v="0"/>
    <n v="4"/>
    <n v="73"/>
    <n v="292"/>
    <x v="1"/>
    <n v="292"/>
    <s v="Wallet"/>
    <n v="51"/>
    <s v="Late"/>
    <n v="1"/>
  </r>
  <r>
    <x v="104"/>
    <x v="5"/>
    <x v="1"/>
    <x v="0"/>
    <d v="1899-12-30T09:05:00"/>
    <s v="C105"/>
    <x v="3"/>
    <x v="2"/>
    <x v="4"/>
    <x v="1"/>
    <n v="1"/>
    <n v="105"/>
    <n v="105"/>
    <x v="0"/>
    <n v="95"/>
    <s v="Wallet"/>
    <n v="38"/>
    <s v="Late"/>
    <m/>
  </r>
  <r>
    <x v="105"/>
    <x v="16"/>
    <x v="4"/>
    <x v="1"/>
    <d v="1899-12-30T18:45:00"/>
    <s v="C106"/>
    <x v="1"/>
    <x v="3"/>
    <x v="0"/>
    <x v="0"/>
    <n v="1"/>
    <n v="35"/>
    <n v="35"/>
    <x v="1"/>
    <n v="35"/>
    <s v="Upi"/>
    <n v="42"/>
    <s v="Late"/>
    <n v="5"/>
  </r>
  <r>
    <x v="106"/>
    <x v="9"/>
    <x v="4"/>
    <x v="1"/>
    <d v="1899-12-30T10:30:00"/>
    <s v="C107"/>
    <x v="4"/>
    <x v="0"/>
    <x v="2"/>
    <x v="0"/>
    <n v="4"/>
    <n v="94"/>
    <n v="376"/>
    <x v="2"/>
    <n v="371"/>
    <s v="Card"/>
    <n v="51"/>
    <s v="Delivered"/>
    <m/>
  </r>
  <r>
    <x v="107"/>
    <x v="19"/>
    <x v="2"/>
    <x v="1"/>
    <d v="1899-12-30T09:05:00"/>
    <s v="C108"/>
    <x v="2"/>
    <x v="5"/>
    <x v="6"/>
    <x v="3"/>
    <n v="6"/>
    <n v="57"/>
    <n v="342"/>
    <x v="2"/>
    <n v="337"/>
    <s v="Wallet"/>
    <n v="13"/>
    <s v="Late"/>
    <n v="3"/>
  </r>
  <r>
    <x v="108"/>
    <x v="4"/>
    <x v="2"/>
    <x v="1"/>
    <d v="1899-12-30T10:30:00"/>
    <s v="C109"/>
    <x v="3"/>
    <x v="6"/>
    <x v="1"/>
    <x v="1"/>
    <n v="3"/>
    <n v="77"/>
    <n v="231"/>
    <x v="0"/>
    <n v="221"/>
    <s v="Cod"/>
    <n v="41"/>
    <s v="Delivered"/>
    <n v="1"/>
  </r>
  <r>
    <x v="109"/>
    <x v="11"/>
    <x v="6"/>
    <x v="0"/>
    <d v="1899-12-30T09:05:00"/>
    <s v="C110"/>
    <x v="0"/>
    <x v="4"/>
    <x v="2"/>
    <x v="0"/>
    <n v="4"/>
    <n v="36"/>
    <n v="144"/>
    <x v="1"/>
    <n v="144"/>
    <s v="Cod"/>
    <n v="20"/>
    <s v="Delivered"/>
    <n v="2"/>
  </r>
  <r>
    <x v="110"/>
    <x v="3"/>
    <x v="2"/>
    <x v="1"/>
    <d v="1899-12-30T10:30:00"/>
    <s v="C111"/>
    <x v="1"/>
    <x v="2"/>
    <x v="3"/>
    <x v="2"/>
    <n v="5"/>
    <n v="64"/>
    <n v="320"/>
    <x v="1"/>
    <n v="320"/>
    <s v="Wallet"/>
    <n v="46"/>
    <s v="Delivered"/>
    <n v="3"/>
  </r>
  <r>
    <x v="111"/>
    <x v="3"/>
    <x v="2"/>
    <x v="1"/>
    <d v="1899-12-30T10:30:00"/>
    <s v="C112"/>
    <x v="0"/>
    <x v="7"/>
    <x v="1"/>
    <x v="1"/>
    <n v="2"/>
    <n v="31"/>
    <n v="62"/>
    <x v="1"/>
    <n v="62"/>
    <s v="Upi"/>
    <n v="47"/>
    <s v="Delivered"/>
    <n v="1"/>
  </r>
  <r>
    <x v="112"/>
    <x v="19"/>
    <x v="2"/>
    <x v="1"/>
    <d v="1899-12-30T18:15:00"/>
    <s v="C113"/>
    <x v="5"/>
    <x v="6"/>
    <x v="5"/>
    <x v="0"/>
    <n v="5"/>
    <n v="81"/>
    <n v="405"/>
    <x v="0"/>
    <n v="395"/>
    <s v="Upi"/>
    <n v="27"/>
    <s v="Late"/>
    <n v="3"/>
  </r>
  <r>
    <x v="113"/>
    <x v="2"/>
    <x v="2"/>
    <x v="1"/>
    <d v="1899-12-30T18:45:00"/>
    <s v="C114"/>
    <x v="2"/>
    <x v="0"/>
    <x v="1"/>
    <x v="1"/>
    <n v="6"/>
    <n v="27"/>
    <n v="162"/>
    <x v="1"/>
    <n v="162"/>
    <s v="Upi"/>
    <n v="29"/>
    <s v="Late"/>
    <n v="5"/>
  </r>
  <r>
    <x v="114"/>
    <x v="20"/>
    <x v="3"/>
    <x v="0"/>
    <d v="1899-12-30T18:45:00"/>
    <s v="C115"/>
    <x v="5"/>
    <x v="4"/>
    <x v="2"/>
    <x v="0"/>
    <n v="2"/>
    <n v="86"/>
    <n v="172"/>
    <x v="1"/>
    <n v="172"/>
    <s v="Card"/>
    <n v="16"/>
    <s v="Delivered"/>
    <n v="2"/>
  </r>
  <r>
    <x v="115"/>
    <x v="4"/>
    <x v="2"/>
    <x v="1"/>
    <d v="1899-12-30T09:05:00"/>
    <s v="C116"/>
    <x v="4"/>
    <x v="4"/>
    <x v="0"/>
    <x v="0"/>
    <n v="1"/>
    <n v="88"/>
    <n v="88"/>
    <x v="2"/>
    <n v="83"/>
    <s v="Upi"/>
    <n v="12"/>
    <s v="Late"/>
    <n v="1"/>
  </r>
  <r>
    <x v="116"/>
    <x v="7"/>
    <x v="3"/>
    <x v="0"/>
    <d v="1899-12-30T10:30:00"/>
    <s v="C117"/>
    <x v="5"/>
    <x v="5"/>
    <x v="7"/>
    <x v="4"/>
    <n v="3"/>
    <n v="31"/>
    <n v="93"/>
    <x v="1"/>
    <n v="93"/>
    <s v="Card"/>
    <n v="57"/>
    <s v="Late"/>
    <n v="2"/>
  </r>
  <r>
    <x v="117"/>
    <x v="19"/>
    <x v="2"/>
    <x v="1"/>
    <d v="1899-12-30T10:30:00"/>
    <s v="C118"/>
    <x v="2"/>
    <x v="3"/>
    <x v="6"/>
    <x v="3"/>
    <n v="2"/>
    <n v="97"/>
    <n v="194"/>
    <x v="0"/>
    <n v="184"/>
    <s v="Wallet"/>
    <n v="45"/>
    <s v="Delivered"/>
    <n v="3"/>
  </r>
  <r>
    <x v="118"/>
    <x v="5"/>
    <x v="1"/>
    <x v="0"/>
    <d v="1899-12-30T18:15:00"/>
    <s v="C119"/>
    <x v="1"/>
    <x v="5"/>
    <x v="8"/>
    <x v="5"/>
    <n v="5"/>
    <n v="13"/>
    <n v="65"/>
    <x v="1"/>
    <n v="65"/>
    <s v="Card"/>
    <n v="40"/>
    <s v="Late"/>
    <n v="2"/>
  </r>
  <r>
    <x v="119"/>
    <x v="19"/>
    <x v="2"/>
    <x v="1"/>
    <d v="1899-12-30T18:15:00"/>
    <s v="C120"/>
    <x v="1"/>
    <x v="5"/>
    <x v="6"/>
    <x v="3"/>
    <n v="5"/>
    <n v="60"/>
    <n v="300"/>
    <x v="2"/>
    <n v="295"/>
    <s v="Wallet"/>
    <n v="27"/>
    <s v="Late"/>
    <n v="2"/>
  </r>
  <r>
    <x v="120"/>
    <x v="14"/>
    <x v="0"/>
    <x v="0"/>
    <d v="1899-12-30T09:05:00"/>
    <s v="C121"/>
    <x v="1"/>
    <x v="7"/>
    <x v="0"/>
    <x v="0"/>
    <n v="5"/>
    <n v="15"/>
    <n v="75"/>
    <x v="1"/>
    <n v="75"/>
    <s v="Wallet"/>
    <n v="27"/>
    <s v="Late"/>
    <n v="4"/>
  </r>
  <r>
    <x v="121"/>
    <x v="12"/>
    <x v="6"/>
    <x v="0"/>
    <d v="1899-12-30T18:15:00"/>
    <s v="C122"/>
    <x v="2"/>
    <x v="4"/>
    <x v="4"/>
    <x v="1"/>
    <n v="3"/>
    <n v="13"/>
    <n v="39"/>
    <x v="2"/>
    <n v="34"/>
    <s v="Card"/>
    <n v="34"/>
    <s v="Late"/>
    <n v="3"/>
  </r>
  <r>
    <x v="122"/>
    <x v="4"/>
    <x v="2"/>
    <x v="1"/>
    <d v="1899-12-30T09:05:00"/>
    <s v="C123"/>
    <x v="1"/>
    <x v="1"/>
    <x v="2"/>
    <x v="0"/>
    <n v="3"/>
    <n v="113"/>
    <n v="339"/>
    <x v="1"/>
    <n v="339"/>
    <s v="Upi"/>
    <n v="26"/>
    <s v="Late"/>
    <n v="2"/>
  </r>
  <r>
    <x v="123"/>
    <x v="20"/>
    <x v="3"/>
    <x v="0"/>
    <d v="1899-12-30T10:30:00"/>
    <s v="C124"/>
    <x v="1"/>
    <x v="3"/>
    <x v="1"/>
    <x v="1"/>
    <n v="4"/>
    <n v="114"/>
    <n v="456"/>
    <x v="1"/>
    <n v="456"/>
    <s v="Cod"/>
    <n v="47"/>
    <s v="Delivered"/>
    <n v="5"/>
  </r>
  <r>
    <x v="124"/>
    <x v="18"/>
    <x v="6"/>
    <x v="0"/>
    <d v="1899-12-30T18:15:00"/>
    <s v="C125"/>
    <x v="4"/>
    <x v="6"/>
    <x v="4"/>
    <x v="1"/>
    <n v="4"/>
    <n v="40"/>
    <n v="160"/>
    <x v="1"/>
    <n v="160"/>
    <s v="Upi"/>
    <n v="22"/>
    <s v="Late"/>
    <m/>
  </r>
  <r>
    <x v="125"/>
    <x v="6"/>
    <x v="0"/>
    <x v="0"/>
    <d v="1899-12-30T18:45:00"/>
    <s v="C126"/>
    <x v="2"/>
    <x v="7"/>
    <x v="4"/>
    <x v="1"/>
    <n v="6"/>
    <n v="56"/>
    <n v="336"/>
    <x v="1"/>
    <n v="336"/>
    <s v="Wallet"/>
    <n v="15"/>
    <s v="Late"/>
    <m/>
  </r>
  <r>
    <x v="126"/>
    <x v="11"/>
    <x v="6"/>
    <x v="0"/>
    <d v="1899-12-30T09:05:00"/>
    <s v="C127"/>
    <x v="0"/>
    <x v="2"/>
    <x v="6"/>
    <x v="3"/>
    <n v="6"/>
    <n v="78"/>
    <n v="468"/>
    <x v="2"/>
    <n v="463"/>
    <s v="Card"/>
    <n v="22"/>
    <s v="Delivered"/>
    <n v="1"/>
  </r>
  <r>
    <x v="127"/>
    <x v="19"/>
    <x v="2"/>
    <x v="1"/>
    <d v="1899-12-30T10:30:00"/>
    <s v="C128"/>
    <x v="1"/>
    <x v="5"/>
    <x v="3"/>
    <x v="2"/>
    <n v="1"/>
    <n v="32"/>
    <n v="32"/>
    <x v="0"/>
    <n v="22"/>
    <s v="Wallet"/>
    <n v="18"/>
    <s v="Late"/>
    <n v="3"/>
  </r>
  <r>
    <x v="128"/>
    <x v="2"/>
    <x v="2"/>
    <x v="1"/>
    <d v="1899-12-30T18:15:00"/>
    <s v="C129"/>
    <x v="5"/>
    <x v="0"/>
    <x v="7"/>
    <x v="4"/>
    <n v="1"/>
    <n v="44"/>
    <n v="44"/>
    <x v="1"/>
    <n v="44"/>
    <s v="Wallet"/>
    <n v="21"/>
    <s v="Late"/>
    <n v="1"/>
  </r>
  <r>
    <x v="129"/>
    <x v="9"/>
    <x v="4"/>
    <x v="1"/>
    <d v="1899-12-30T18:45:00"/>
    <s v="C130"/>
    <x v="6"/>
    <x v="2"/>
    <x v="4"/>
    <x v="1"/>
    <n v="3"/>
    <n v="103"/>
    <n v="309"/>
    <x v="1"/>
    <n v="309"/>
    <s v="Wallet"/>
    <n v="10"/>
    <s v="Late"/>
    <n v="2"/>
  </r>
  <r>
    <x v="130"/>
    <x v="16"/>
    <x v="4"/>
    <x v="1"/>
    <d v="1899-12-30T18:45:00"/>
    <s v="C131"/>
    <x v="4"/>
    <x v="7"/>
    <x v="0"/>
    <x v="0"/>
    <n v="4"/>
    <n v="118"/>
    <n v="472"/>
    <x v="1"/>
    <n v="472"/>
    <s v="Upi"/>
    <n v="28"/>
    <s v="Late"/>
    <m/>
  </r>
  <r>
    <x v="131"/>
    <x v="19"/>
    <x v="2"/>
    <x v="1"/>
    <d v="1899-12-30T10:30:00"/>
    <s v="C132"/>
    <x v="5"/>
    <x v="2"/>
    <x v="0"/>
    <x v="0"/>
    <n v="6"/>
    <n v="104"/>
    <n v="624"/>
    <x v="1"/>
    <n v="624"/>
    <s v="Upi"/>
    <n v="23"/>
    <s v="Late"/>
    <n v="2"/>
  </r>
  <r>
    <x v="132"/>
    <x v="5"/>
    <x v="1"/>
    <x v="0"/>
    <d v="1899-12-30T10:30:00"/>
    <s v="C133"/>
    <x v="6"/>
    <x v="7"/>
    <x v="1"/>
    <x v="1"/>
    <n v="1"/>
    <n v="43"/>
    <n v="43"/>
    <x v="2"/>
    <n v="38"/>
    <s v="Wallet"/>
    <n v="59"/>
    <s v="Late"/>
    <n v="4"/>
  </r>
  <r>
    <x v="133"/>
    <x v="6"/>
    <x v="0"/>
    <x v="0"/>
    <d v="1899-12-30T18:15:00"/>
    <s v="C134"/>
    <x v="1"/>
    <x v="1"/>
    <x v="7"/>
    <x v="4"/>
    <n v="3"/>
    <n v="88"/>
    <n v="264"/>
    <x v="2"/>
    <n v="259"/>
    <s v="Cod"/>
    <n v="51"/>
    <s v="Late"/>
    <n v="2"/>
  </r>
  <r>
    <x v="134"/>
    <x v="20"/>
    <x v="3"/>
    <x v="0"/>
    <d v="1899-12-30T09:05:00"/>
    <s v="C135"/>
    <x v="1"/>
    <x v="5"/>
    <x v="5"/>
    <x v="0"/>
    <n v="5"/>
    <n v="21"/>
    <n v="115"/>
    <x v="2"/>
    <n v="100"/>
    <s v="Upi"/>
    <n v="47"/>
    <s v="Delivered"/>
    <n v="2"/>
  </r>
  <r>
    <x v="135"/>
    <x v="17"/>
    <x v="2"/>
    <x v="1"/>
    <d v="1899-12-30T10:30:00"/>
    <s v="C136"/>
    <x v="1"/>
    <x v="0"/>
    <x v="7"/>
    <x v="4"/>
    <n v="2"/>
    <n v="34"/>
    <n v="68"/>
    <x v="2"/>
    <n v="63"/>
    <s v="Upi"/>
    <n v="27"/>
    <s v="Late"/>
    <m/>
  </r>
  <r>
    <x v="136"/>
    <x v="9"/>
    <x v="4"/>
    <x v="1"/>
    <d v="1899-12-30T10:30:00"/>
    <s v="C137"/>
    <x v="5"/>
    <x v="1"/>
    <x v="4"/>
    <x v="1"/>
    <n v="4"/>
    <n v="11"/>
    <n v="44"/>
    <x v="1"/>
    <n v="44"/>
    <s v="Upi"/>
    <n v="43"/>
    <s v="Late"/>
    <n v="1"/>
  </r>
  <r>
    <x v="137"/>
    <x v="14"/>
    <x v="0"/>
    <x v="0"/>
    <d v="1899-12-30T18:45:00"/>
    <s v="C138"/>
    <x v="1"/>
    <x v="0"/>
    <x v="8"/>
    <x v="5"/>
    <n v="4"/>
    <n v="53"/>
    <n v="212"/>
    <x v="2"/>
    <n v="207"/>
    <s v="Cod"/>
    <n v="15"/>
    <s v="Late"/>
    <n v="5"/>
  </r>
  <r>
    <x v="138"/>
    <x v="0"/>
    <x v="0"/>
    <x v="0"/>
    <d v="1899-12-30T10:30:00"/>
    <s v="C139"/>
    <x v="2"/>
    <x v="6"/>
    <x v="1"/>
    <x v="1"/>
    <n v="3"/>
    <n v="118"/>
    <n v="354"/>
    <x v="2"/>
    <n v="349"/>
    <s v="Cod"/>
    <n v="23"/>
    <s v="Late"/>
    <n v="3"/>
  </r>
  <r>
    <x v="139"/>
    <x v="19"/>
    <x v="2"/>
    <x v="1"/>
    <d v="1899-12-30T10:30:00"/>
    <s v="C140"/>
    <x v="4"/>
    <x v="7"/>
    <x v="2"/>
    <x v="0"/>
    <n v="4"/>
    <n v="15"/>
    <n v="60"/>
    <x v="2"/>
    <n v="55"/>
    <s v="Card"/>
    <n v="40"/>
    <s v="Late"/>
    <n v="4"/>
  </r>
  <r>
    <x v="140"/>
    <x v="11"/>
    <x v="6"/>
    <x v="0"/>
    <d v="1899-12-30T18:15:00"/>
    <s v="C141"/>
    <x v="0"/>
    <x v="1"/>
    <x v="4"/>
    <x v="1"/>
    <n v="2"/>
    <n v="102"/>
    <n v="204"/>
    <x v="1"/>
    <n v="204"/>
    <s v="Wallet"/>
    <n v="44"/>
    <s v="Delivered"/>
    <n v="3"/>
  </r>
  <r>
    <x v="141"/>
    <x v="18"/>
    <x v="6"/>
    <x v="0"/>
    <d v="1899-12-30T18:45:00"/>
    <s v="C142"/>
    <x v="4"/>
    <x v="0"/>
    <x v="7"/>
    <x v="4"/>
    <n v="1"/>
    <n v="35"/>
    <n v="35"/>
    <x v="0"/>
    <n v="25"/>
    <s v="Upi"/>
    <n v="51"/>
    <s v="Delivered"/>
    <n v="4"/>
  </r>
  <r>
    <x v="142"/>
    <x v="19"/>
    <x v="2"/>
    <x v="1"/>
    <d v="1899-12-30T18:15:00"/>
    <s v="C143"/>
    <x v="4"/>
    <x v="2"/>
    <x v="3"/>
    <x v="2"/>
    <n v="4"/>
    <n v="23"/>
    <n v="102"/>
    <x v="1"/>
    <n v="92"/>
    <s v="Card"/>
    <n v="53"/>
    <s v="Delivered"/>
    <n v="4"/>
  </r>
  <r>
    <x v="143"/>
    <x v="20"/>
    <x v="3"/>
    <x v="0"/>
    <d v="1899-12-30T10:30:00"/>
    <s v="C144"/>
    <x v="3"/>
    <x v="2"/>
    <x v="3"/>
    <x v="2"/>
    <n v="6"/>
    <n v="64"/>
    <n v="384"/>
    <x v="0"/>
    <n v="374"/>
    <s v="Upi"/>
    <n v="11"/>
    <s v="Delivered"/>
    <n v="1"/>
  </r>
  <r>
    <x v="144"/>
    <x v="9"/>
    <x v="4"/>
    <x v="1"/>
    <d v="1899-12-30T09:05:00"/>
    <s v="C145"/>
    <x v="0"/>
    <x v="0"/>
    <x v="6"/>
    <x v="3"/>
    <n v="4"/>
    <n v="107"/>
    <n v="428"/>
    <x v="1"/>
    <n v="428"/>
    <s v="Upi"/>
    <n v="21"/>
    <s v="Delivered"/>
    <n v="2"/>
  </r>
  <r>
    <x v="145"/>
    <x v="8"/>
    <x v="3"/>
    <x v="0"/>
    <d v="1899-12-30T10:30:00"/>
    <s v="C146"/>
    <x v="0"/>
    <x v="2"/>
    <x v="3"/>
    <x v="2"/>
    <n v="6"/>
    <n v="26"/>
    <n v="156"/>
    <x v="1"/>
    <n v="156"/>
    <s v="Upi"/>
    <n v="60"/>
    <s v="Delivered"/>
    <n v="5"/>
  </r>
  <r>
    <x v="146"/>
    <x v="11"/>
    <x v="6"/>
    <x v="0"/>
    <d v="1899-12-30T09:05:00"/>
    <s v="C147"/>
    <x v="1"/>
    <x v="2"/>
    <x v="8"/>
    <x v="5"/>
    <n v="6"/>
    <n v="28"/>
    <n v="168"/>
    <x v="2"/>
    <n v="163"/>
    <s v="Wallet"/>
    <n v="48"/>
    <s v="Late"/>
    <n v="1"/>
  </r>
  <r>
    <x v="147"/>
    <x v="16"/>
    <x v="4"/>
    <x v="1"/>
    <d v="1899-12-30T18:45:00"/>
    <s v="C148"/>
    <x v="0"/>
    <x v="7"/>
    <x v="3"/>
    <x v="2"/>
    <n v="5"/>
    <n v="68"/>
    <n v="340"/>
    <x v="2"/>
    <n v="335"/>
    <s v="Cod"/>
    <n v="22"/>
    <s v="Delivered"/>
    <n v="5"/>
  </r>
  <r>
    <x v="148"/>
    <x v="9"/>
    <x v="4"/>
    <x v="1"/>
    <d v="1899-12-30T18:15:00"/>
    <s v="C149"/>
    <x v="1"/>
    <x v="7"/>
    <x v="8"/>
    <x v="5"/>
    <n v="2"/>
    <n v="103"/>
    <n v="206"/>
    <x v="1"/>
    <n v="206"/>
    <s v="Cod"/>
    <n v="26"/>
    <s v="Delivered"/>
    <n v="1"/>
  </r>
  <r>
    <x v="149"/>
    <x v="19"/>
    <x v="2"/>
    <x v="1"/>
    <d v="1899-12-30T18:45:00"/>
    <s v="C150"/>
    <x v="2"/>
    <x v="1"/>
    <x v="6"/>
    <x v="3"/>
    <n v="1"/>
    <n v="16"/>
    <n v="16"/>
    <x v="1"/>
    <n v="16"/>
    <s v="Upi"/>
    <n v="51"/>
    <s v="Delivered"/>
    <n v="3"/>
  </r>
  <r>
    <x v="150"/>
    <x v="9"/>
    <x v="4"/>
    <x v="1"/>
    <d v="1899-12-30T18:45:00"/>
    <s v="C151"/>
    <x v="0"/>
    <x v="1"/>
    <x v="4"/>
    <x v="1"/>
    <n v="1"/>
    <n v="71"/>
    <n v="71"/>
    <x v="1"/>
    <n v="71"/>
    <s v="Cod"/>
    <n v="33"/>
    <s v="Late"/>
    <n v="1"/>
  </r>
  <r>
    <x v="151"/>
    <x v="19"/>
    <x v="2"/>
    <x v="1"/>
    <d v="1899-12-30T18:15:00"/>
    <s v="C152"/>
    <x v="0"/>
    <x v="2"/>
    <x v="5"/>
    <x v="0"/>
    <n v="4"/>
    <n v="67"/>
    <n v="268"/>
    <x v="2"/>
    <n v="263"/>
    <s v="Upi"/>
    <n v="31"/>
    <s v="Late"/>
    <n v="1"/>
  </r>
  <r>
    <x v="152"/>
    <x v="2"/>
    <x v="2"/>
    <x v="1"/>
    <d v="1899-12-30T18:45:00"/>
    <s v="C153"/>
    <x v="4"/>
    <x v="4"/>
    <x v="2"/>
    <x v="0"/>
    <n v="2"/>
    <n v="101"/>
    <n v="202"/>
    <x v="1"/>
    <n v="202"/>
    <s v="Upi"/>
    <n v="19"/>
    <s v="Delivered"/>
    <n v="4"/>
  </r>
  <r>
    <x v="153"/>
    <x v="7"/>
    <x v="3"/>
    <x v="0"/>
    <d v="1899-12-30T10:30:00"/>
    <s v="C154"/>
    <x v="0"/>
    <x v="2"/>
    <x v="8"/>
    <x v="5"/>
    <n v="4"/>
    <n v="33"/>
    <n v="132"/>
    <x v="2"/>
    <n v="127"/>
    <s v="Upi"/>
    <n v="15"/>
    <s v="Delivered"/>
    <n v="2"/>
  </r>
  <r>
    <x v="154"/>
    <x v="1"/>
    <x v="1"/>
    <x v="0"/>
    <d v="1899-12-30T18:45:00"/>
    <s v="C155"/>
    <x v="6"/>
    <x v="6"/>
    <x v="7"/>
    <x v="4"/>
    <n v="4"/>
    <n v="113"/>
    <n v="452"/>
    <x v="1"/>
    <n v="452"/>
    <s v="Upi"/>
    <n v="20"/>
    <s v="Late"/>
    <n v="4"/>
  </r>
  <r>
    <x v="155"/>
    <x v="14"/>
    <x v="0"/>
    <x v="0"/>
    <d v="1899-12-30T09:05:00"/>
    <s v="C156"/>
    <x v="1"/>
    <x v="1"/>
    <x v="4"/>
    <x v="1"/>
    <n v="2"/>
    <n v="44"/>
    <n v="88"/>
    <x v="0"/>
    <n v="78"/>
    <s v="Card"/>
    <n v="27"/>
    <s v="Late"/>
    <n v="1"/>
  </r>
  <r>
    <x v="156"/>
    <x v="9"/>
    <x v="4"/>
    <x v="1"/>
    <d v="1899-12-30T18:15:00"/>
    <s v="C157"/>
    <x v="1"/>
    <x v="2"/>
    <x v="1"/>
    <x v="1"/>
    <n v="1"/>
    <n v="79"/>
    <n v="79"/>
    <x v="0"/>
    <n v="69"/>
    <s v="Cod"/>
    <n v="20"/>
    <s v="Late"/>
    <n v="2"/>
  </r>
  <r>
    <x v="157"/>
    <x v="9"/>
    <x v="4"/>
    <x v="1"/>
    <d v="1899-12-30T09:05:00"/>
    <s v="C158"/>
    <x v="6"/>
    <x v="4"/>
    <x v="6"/>
    <x v="3"/>
    <n v="1"/>
    <n v="15"/>
    <n v="15"/>
    <x v="2"/>
    <n v="10"/>
    <s v="Upi"/>
    <n v="10"/>
    <s v="Late"/>
    <n v="2"/>
  </r>
  <r>
    <x v="158"/>
    <x v="11"/>
    <x v="6"/>
    <x v="0"/>
    <d v="1899-12-30T18:45:00"/>
    <s v="C159"/>
    <x v="1"/>
    <x v="7"/>
    <x v="7"/>
    <x v="4"/>
    <n v="1"/>
    <n v="91"/>
    <n v="91"/>
    <x v="0"/>
    <n v="81"/>
    <s v="Upi"/>
    <n v="14"/>
    <s v="Delivered"/>
    <n v="2"/>
  </r>
  <r>
    <x v="159"/>
    <x v="9"/>
    <x v="4"/>
    <x v="1"/>
    <d v="1899-12-30T18:15:00"/>
    <s v="C160"/>
    <x v="5"/>
    <x v="7"/>
    <x v="3"/>
    <x v="2"/>
    <n v="5"/>
    <n v="63"/>
    <n v="315"/>
    <x v="1"/>
    <n v="315"/>
    <s v="Cod"/>
    <n v="13"/>
    <s v="Late"/>
    <n v="1"/>
  </r>
  <r>
    <x v="160"/>
    <x v="10"/>
    <x v="5"/>
    <x v="0"/>
    <d v="1899-12-30T10:30:00"/>
    <s v="C161"/>
    <x v="0"/>
    <x v="3"/>
    <x v="8"/>
    <x v="5"/>
    <n v="2"/>
    <n v="104"/>
    <n v="208"/>
    <x v="2"/>
    <n v="203"/>
    <s v="Upi"/>
    <n v="17"/>
    <s v="Delivered"/>
    <n v="2"/>
  </r>
  <r>
    <x v="161"/>
    <x v="15"/>
    <x v="5"/>
    <x v="0"/>
    <d v="1899-12-30T10:30:00"/>
    <s v="C162"/>
    <x v="5"/>
    <x v="7"/>
    <x v="8"/>
    <x v="5"/>
    <n v="2"/>
    <n v="44"/>
    <n v="88"/>
    <x v="2"/>
    <n v="83"/>
    <s v="Cod"/>
    <n v="43"/>
    <s v="Delivered"/>
    <n v="1"/>
  </r>
  <r>
    <x v="162"/>
    <x v="20"/>
    <x v="3"/>
    <x v="0"/>
    <d v="1899-12-30T18:45:00"/>
    <s v="C163"/>
    <x v="1"/>
    <x v="7"/>
    <x v="2"/>
    <x v="0"/>
    <n v="6"/>
    <n v="120"/>
    <n v="720"/>
    <x v="2"/>
    <n v="715"/>
    <s v="Wallet"/>
    <n v="15"/>
    <s v="Late"/>
    <n v="1"/>
  </r>
  <r>
    <x v="163"/>
    <x v="8"/>
    <x v="3"/>
    <x v="0"/>
    <d v="1899-12-30T10:30:00"/>
    <s v="C164"/>
    <x v="2"/>
    <x v="1"/>
    <x v="4"/>
    <x v="1"/>
    <n v="1"/>
    <n v="80"/>
    <n v="80"/>
    <x v="1"/>
    <n v="80"/>
    <s v="Wallet"/>
    <n v="47"/>
    <s v="Late"/>
    <n v="5"/>
  </r>
  <r>
    <x v="164"/>
    <x v="19"/>
    <x v="2"/>
    <x v="1"/>
    <d v="1899-12-30T10:30:00"/>
    <s v="C165"/>
    <x v="1"/>
    <x v="3"/>
    <x v="3"/>
    <x v="2"/>
    <n v="5"/>
    <n v="79"/>
    <n v="395"/>
    <x v="2"/>
    <n v="390"/>
    <s v="Upi"/>
    <n v="12"/>
    <s v="Delivered"/>
    <m/>
  </r>
  <r>
    <x v="165"/>
    <x v="6"/>
    <x v="0"/>
    <x v="0"/>
    <d v="1899-12-30T18:45:00"/>
    <s v="C166"/>
    <x v="4"/>
    <x v="1"/>
    <x v="4"/>
    <x v="1"/>
    <n v="1"/>
    <n v="112"/>
    <n v="112"/>
    <x v="1"/>
    <n v="112"/>
    <s v="Upi"/>
    <n v="28"/>
    <s v="Delivered"/>
    <n v="5"/>
  </r>
  <r>
    <x v="166"/>
    <x v="20"/>
    <x v="3"/>
    <x v="0"/>
    <d v="1899-12-30T09:05:00"/>
    <s v="C167"/>
    <x v="6"/>
    <x v="1"/>
    <x v="4"/>
    <x v="1"/>
    <n v="3"/>
    <n v="62"/>
    <n v="186"/>
    <x v="1"/>
    <n v="186"/>
    <s v="Upi"/>
    <n v="19"/>
    <s v="Delivered"/>
    <n v="3"/>
  </r>
  <r>
    <x v="167"/>
    <x v="1"/>
    <x v="1"/>
    <x v="0"/>
    <d v="1899-12-30T18:45:00"/>
    <s v="C168"/>
    <x v="3"/>
    <x v="1"/>
    <x v="5"/>
    <x v="0"/>
    <n v="1"/>
    <n v="74"/>
    <n v="74"/>
    <x v="1"/>
    <n v="74"/>
    <s v="Card"/>
    <n v="12"/>
    <s v="Delivered"/>
    <m/>
  </r>
  <r>
    <x v="168"/>
    <x v="13"/>
    <x v="5"/>
    <x v="0"/>
    <d v="1899-12-30T18:45:00"/>
    <s v="C169"/>
    <x v="6"/>
    <x v="4"/>
    <x v="5"/>
    <x v="0"/>
    <n v="4"/>
    <n v="84"/>
    <n v="336"/>
    <x v="0"/>
    <n v="326"/>
    <s v="Upi"/>
    <n v="41"/>
    <s v="Delivered"/>
    <n v="3"/>
  </r>
  <r>
    <x v="169"/>
    <x v="6"/>
    <x v="0"/>
    <x v="0"/>
    <d v="1899-12-30T09:05:00"/>
    <s v="C170"/>
    <x v="5"/>
    <x v="5"/>
    <x v="3"/>
    <x v="2"/>
    <n v="3"/>
    <n v="72"/>
    <n v="216"/>
    <x v="1"/>
    <n v="216"/>
    <s v="Card"/>
    <n v="43"/>
    <s v="Delivered"/>
    <n v="5"/>
  </r>
  <r>
    <x v="170"/>
    <x v="14"/>
    <x v="0"/>
    <x v="0"/>
    <d v="1899-12-30T18:45:00"/>
    <s v="C171"/>
    <x v="2"/>
    <x v="3"/>
    <x v="0"/>
    <x v="0"/>
    <n v="2"/>
    <n v="33"/>
    <n v="66"/>
    <x v="0"/>
    <n v="56"/>
    <s v="Upi"/>
    <n v="20"/>
    <s v="Delivered"/>
    <n v="2"/>
  </r>
  <r>
    <x v="171"/>
    <x v="18"/>
    <x v="6"/>
    <x v="0"/>
    <d v="1899-12-30T18:15:00"/>
    <s v="C172"/>
    <x v="5"/>
    <x v="1"/>
    <x v="0"/>
    <x v="0"/>
    <n v="6"/>
    <n v="26"/>
    <n v="156"/>
    <x v="1"/>
    <n v="156"/>
    <s v="Cod"/>
    <n v="22"/>
    <s v="Delivered"/>
    <n v="2"/>
  </r>
  <r>
    <x v="172"/>
    <x v="10"/>
    <x v="5"/>
    <x v="0"/>
    <d v="1899-12-30T10:30:00"/>
    <s v="C173"/>
    <x v="4"/>
    <x v="6"/>
    <x v="3"/>
    <x v="2"/>
    <n v="1"/>
    <n v="80"/>
    <n v="80"/>
    <x v="1"/>
    <n v="80"/>
    <s v="Cod"/>
    <n v="14"/>
    <s v="Delivered"/>
    <n v="5"/>
  </r>
  <r>
    <x v="173"/>
    <x v="14"/>
    <x v="0"/>
    <x v="0"/>
    <d v="1899-12-30T09:05:00"/>
    <s v="C174"/>
    <x v="6"/>
    <x v="7"/>
    <x v="2"/>
    <x v="0"/>
    <n v="5"/>
    <n v="64"/>
    <n v="320"/>
    <x v="1"/>
    <n v="320"/>
    <s v="Upi"/>
    <n v="46"/>
    <s v="Late"/>
    <n v="1"/>
  </r>
  <r>
    <x v="174"/>
    <x v="12"/>
    <x v="6"/>
    <x v="0"/>
    <d v="1899-12-30T09:05:00"/>
    <s v="C175"/>
    <x v="4"/>
    <x v="4"/>
    <x v="8"/>
    <x v="5"/>
    <n v="1"/>
    <n v="19"/>
    <n v="19"/>
    <x v="1"/>
    <n v="19"/>
    <s v="Cod"/>
    <n v="60"/>
    <s v="Delivered"/>
    <n v="1"/>
  </r>
  <r>
    <x v="175"/>
    <x v="7"/>
    <x v="3"/>
    <x v="0"/>
    <d v="1899-12-30T18:15:00"/>
    <s v="C176"/>
    <x v="2"/>
    <x v="7"/>
    <x v="7"/>
    <x v="4"/>
    <n v="6"/>
    <n v="30"/>
    <n v="180"/>
    <x v="2"/>
    <n v="175"/>
    <s v="Wallet"/>
    <n v="32"/>
    <s v="Late"/>
    <n v="3"/>
  </r>
  <r>
    <x v="176"/>
    <x v="1"/>
    <x v="1"/>
    <x v="0"/>
    <d v="1899-12-30T18:15:00"/>
    <s v="C177"/>
    <x v="0"/>
    <x v="3"/>
    <x v="1"/>
    <x v="1"/>
    <n v="1"/>
    <n v="96"/>
    <n v="96"/>
    <x v="1"/>
    <n v="96"/>
    <s v="Card"/>
    <n v="52"/>
    <s v="Late"/>
    <n v="4"/>
  </r>
  <r>
    <x v="177"/>
    <x v="3"/>
    <x v="2"/>
    <x v="1"/>
    <d v="1899-12-30T09:05:00"/>
    <s v="C178"/>
    <x v="0"/>
    <x v="4"/>
    <x v="0"/>
    <x v="0"/>
    <n v="3"/>
    <n v="91"/>
    <n v="273"/>
    <x v="2"/>
    <n v="268"/>
    <s v="Upi"/>
    <n v="46"/>
    <s v="Delivered"/>
    <n v="2"/>
  </r>
  <r>
    <x v="178"/>
    <x v="17"/>
    <x v="2"/>
    <x v="1"/>
    <d v="1899-12-30T18:15:00"/>
    <s v="C179"/>
    <x v="0"/>
    <x v="7"/>
    <x v="6"/>
    <x v="3"/>
    <n v="4"/>
    <n v="79"/>
    <n v="316"/>
    <x v="1"/>
    <n v="316"/>
    <s v="Card"/>
    <n v="16"/>
    <s v="Delivered"/>
    <n v="1"/>
  </r>
  <r>
    <x v="179"/>
    <x v="9"/>
    <x v="4"/>
    <x v="1"/>
    <d v="1899-12-30T18:15:00"/>
    <s v="C180"/>
    <x v="0"/>
    <x v="7"/>
    <x v="2"/>
    <x v="0"/>
    <n v="4"/>
    <n v="60"/>
    <n v="240"/>
    <x v="0"/>
    <n v="230"/>
    <s v="Card"/>
    <n v="38"/>
    <s v="Late"/>
    <m/>
  </r>
  <r>
    <x v="180"/>
    <x v="14"/>
    <x v="0"/>
    <x v="0"/>
    <d v="1899-12-30T18:45:00"/>
    <s v="C181"/>
    <x v="0"/>
    <x v="0"/>
    <x v="2"/>
    <x v="0"/>
    <n v="1"/>
    <n v="61"/>
    <n v="61"/>
    <x v="1"/>
    <n v="61"/>
    <s v="Card"/>
    <n v="52"/>
    <s v="Delivered"/>
    <n v="3"/>
  </r>
  <r>
    <x v="181"/>
    <x v="5"/>
    <x v="1"/>
    <x v="0"/>
    <d v="1899-12-30T10:30:00"/>
    <s v="C182"/>
    <x v="3"/>
    <x v="0"/>
    <x v="8"/>
    <x v="5"/>
    <n v="2"/>
    <n v="41"/>
    <n v="82"/>
    <x v="2"/>
    <n v="77"/>
    <s v="Card"/>
    <n v="14"/>
    <s v="Delivered"/>
    <n v="2"/>
  </r>
  <r>
    <x v="182"/>
    <x v="2"/>
    <x v="2"/>
    <x v="1"/>
    <d v="1899-12-30T09:05:00"/>
    <s v="C183"/>
    <x v="0"/>
    <x v="6"/>
    <x v="4"/>
    <x v="1"/>
    <n v="3"/>
    <n v="46"/>
    <n v="138"/>
    <x v="1"/>
    <n v="138"/>
    <s v="Wallet"/>
    <n v="52"/>
    <s v="Late"/>
    <n v="1"/>
  </r>
  <r>
    <x v="183"/>
    <x v="18"/>
    <x v="6"/>
    <x v="0"/>
    <d v="1899-12-30T10:30:00"/>
    <s v="C184"/>
    <x v="6"/>
    <x v="3"/>
    <x v="1"/>
    <x v="1"/>
    <n v="5"/>
    <n v="119"/>
    <n v="595"/>
    <x v="1"/>
    <n v="595"/>
    <s v="Cod"/>
    <n v="39"/>
    <s v="Delivered"/>
    <n v="3"/>
  </r>
  <r>
    <x v="184"/>
    <x v="13"/>
    <x v="5"/>
    <x v="0"/>
    <d v="1899-12-30T18:15:00"/>
    <s v="C185"/>
    <x v="2"/>
    <x v="7"/>
    <x v="6"/>
    <x v="3"/>
    <n v="1"/>
    <n v="87"/>
    <n v="87"/>
    <x v="1"/>
    <n v="87"/>
    <s v="Cod"/>
    <n v="54"/>
    <s v="Delivered"/>
    <m/>
  </r>
  <r>
    <x v="185"/>
    <x v="6"/>
    <x v="0"/>
    <x v="0"/>
    <d v="1899-12-30T18:45:00"/>
    <s v="C186"/>
    <x v="2"/>
    <x v="5"/>
    <x v="7"/>
    <x v="4"/>
    <n v="1"/>
    <n v="17"/>
    <n v="17"/>
    <x v="0"/>
    <n v="7"/>
    <s v="Cod"/>
    <n v="59"/>
    <s v="Late"/>
    <n v="3"/>
  </r>
  <r>
    <x v="186"/>
    <x v="6"/>
    <x v="0"/>
    <x v="0"/>
    <d v="1899-12-30T18:15:00"/>
    <s v="C187"/>
    <x v="0"/>
    <x v="5"/>
    <x v="5"/>
    <x v="0"/>
    <n v="5"/>
    <n v="52"/>
    <n v="260"/>
    <x v="1"/>
    <n v="260"/>
    <s v="Cod"/>
    <n v="29"/>
    <s v="Late"/>
    <n v="1"/>
  </r>
  <r>
    <x v="187"/>
    <x v="2"/>
    <x v="2"/>
    <x v="1"/>
    <d v="1899-12-30T18:15:00"/>
    <s v="C188"/>
    <x v="1"/>
    <x v="2"/>
    <x v="0"/>
    <x v="0"/>
    <n v="4"/>
    <n v="22"/>
    <n v="88"/>
    <x v="0"/>
    <n v="78"/>
    <s v="Wallet"/>
    <n v="35"/>
    <s v="Late"/>
    <n v="2"/>
  </r>
  <r>
    <x v="188"/>
    <x v="19"/>
    <x v="2"/>
    <x v="1"/>
    <d v="1899-12-30T18:15:00"/>
    <s v="C189"/>
    <x v="3"/>
    <x v="1"/>
    <x v="8"/>
    <x v="5"/>
    <n v="5"/>
    <n v="92"/>
    <n v="460"/>
    <x v="1"/>
    <n v="460"/>
    <s v="Wallet"/>
    <n v="27"/>
    <s v="Late"/>
    <n v="2"/>
  </r>
  <r>
    <x v="189"/>
    <x v="18"/>
    <x v="6"/>
    <x v="0"/>
    <d v="1899-12-30T18:45:00"/>
    <s v="C190"/>
    <x v="5"/>
    <x v="6"/>
    <x v="6"/>
    <x v="3"/>
    <n v="3"/>
    <n v="31"/>
    <n v="93"/>
    <x v="2"/>
    <n v="88"/>
    <s v="Wallet"/>
    <n v="39"/>
    <s v="Delivered"/>
    <n v="3"/>
  </r>
  <r>
    <x v="190"/>
    <x v="18"/>
    <x v="6"/>
    <x v="0"/>
    <d v="1899-12-30T18:45:00"/>
    <s v="C191"/>
    <x v="2"/>
    <x v="0"/>
    <x v="3"/>
    <x v="2"/>
    <n v="2"/>
    <n v="12"/>
    <n v="24"/>
    <x v="0"/>
    <n v="14"/>
    <s v="Upi"/>
    <n v="39"/>
    <s v="Late"/>
    <n v="5"/>
  </r>
  <r>
    <x v="191"/>
    <x v="17"/>
    <x v="2"/>
    <x v="1"/>
    <d v="1899-12-30T18:15:00"/>
    <s v="C192"/>
    <x v="0"/>
    <x v="5"/>
    <x v="5"/>
    <x v="0"/>
    <n v="3"/>
    <n v="55"/>
    <n v="165"/>
    <x v="1"/>
    <n v="165"/>
    <s v="Wallet"/>
    <n v="14"/>
    <s v="Late"/>
    <n v="5"/>
  </r>
  <r>
    <x v="192"/>
    <x v="1"/>
    <x v="1"/>
    <x v="0"/>
    <d v="1899-12-30T18:15:00"/>
    <s v="C193"/>
    <x v="5"/>
    <x v="7"/>
    <x v="3"/>
    <x v="2"/>
    <n v="4"/>
    <n v="20"/>
    <n v="90"/>
    <x v="1"/>
    <n v="80"/>
    <s v="Upi"/>
    <n v="58"/>
    <s v="Delivered"/>
    <n v="5"/>
  </r>
  <r>
    <x v="193"/>
    <x v="20"/>
    <x v="3"/>
    <x v="0"/>
    <d v="1899-12-30T18:15:00"/>
    <s v="C194"/>
    <x v="2"/>
    <x v="0"/>
    <x v="0"/>
    <x v="0"/>
    <n v="4"/>
    <n v="56"/>
    <n v="224"/>
    <x v="1"/>
    <n v="224"/>
    <s v="Wallet"/>
    <n v="33"/>
    <s v="Delivered"/>
    <n v="2"/>
  </r>
  <r>
    <x v="194"/>
    <x v="0"/>
    <x v="0"/>
    <x v="0"/>
    <d v="1899-12-30T18:15:00"/>
    <s v="C195"/>
    <x v="5"/>
    <x v="3"/>
    <x v="4"/>
    <x v="1"/>
    <n v="2"/>
    <n v="58"/>
    <n v="116"/>
    <x v="0"/>
    <n v="106"/>
    <s v="Upi"/>
    <n v="20"/>
    <s v="Delivered"/>
    <n v="5"/>
  </r>
  <r>
    <x v="195"/>
    <x v="9"/>
    <x v="4"/>
    <x v="1"/>
    <d v="1899-12-30T18:45:00"/>
    <s v="C196"/>
    <x v="1"/>
    <x v="6"/>
    <x v="0"/>
    <x v="0"/>
    <n v="6"/>
    <n v="66"/>
    <n v="396"/>
    <x v="0"/>
    <n v="386"/>
    <s v="Card"/>
    <n v="14"/>
    <s v="Delivered"/>
    <n v="2"/>
  </r>
  <r>
    <x v="196"/>
    <x v="20"/>
    <x v="3"/>
    <x v="0"/>
    <d v="1899-12-30T18:15:00"/>
    <s v="C197"/>
    <x v="2"/>
    <x v="7"/>
    <x v="5"/>
    <x v="0"/>
    <n v="5"/>
    <n v="75"/>
    <n v="375"/>
    <x v="1"/>
    <n v="375"/>
    <s v="Upi"/>
    <n v="54"/>
    <s v="Late"/>
    <n v="4"/>
  </r>
  <r>
    <x v="197"/>
    <x v="0"/>
    <x v="0"/>
    <x v="0"/>
    <d v="1899-12-30T10:30:00"/>
    <s v="C198"/>
    <x v="5"/>
    <x v="3"/>
    <x v="3"/>
    <x v="2"/>
    <n v="5"/>
    <n v="119"/>
    <n v="595"/>
    <x v="2"/>
    <n v="590"/>
    <s v="Wallet"/>
    <n v="28"/>
    <s v="Late"/>
    <n v="4"/>
  </r>
  <r>
    <x v="198"/>
    <x v="10"/>
    <x v="5"/>
    <x v="0"/>
    <d v="1899-12-30T09:05:00"/>
    <s v="C199"/>
    <x v="1"/>
    <x v="2"/>
    <x v="0"/>
    <x v="0"/>
    <n v="5"/>
    <n v="110"/>
    <n v="550"/>
    <x v="0"/>
    <n v="540"/>
    <s v="Cod"/>
    <n v="45"/>
    <s v="Delivered"/>
    <n v="3"/>
  </r>
  <r>
    <x v="199"/>
    <x v="1"/>
    <x v="1"/>
    <x v="0"/>
    <d v="1899-12-30T18:15:00"/>
    <s v="C200"/>
    <x v="6"/>
    <x v="2"/>
    <x v="2"/>
    <x v="0"/>
    <n v="4"/>
    <n v="39"/>
    <n v="156"/>
    <x v="2"/>
    <n v="151"/>
    <s v="Cod"/>
    <n v="17"/>
    <s v="Late"/>
    <n v="2"/>
  </r>
  <r>
    <x v="200"/>
    <x v="20"/>
    <x v="3"/>
    <x v="0"/>
    <d v="1899-12-30T09:05:00"/>
    <s v="C201"/>
    <x v="0"/>
    <x v="0"/>
    <x v="7"/>
    <x v="4"/>
    <n v="2"/>
    <n v="32"/>
    <n v="64"/>
    <x v="0"/>
    <n v="54"/>
    <s v="Upi"/>
    <n v="57"/>
    <s v="Late"/>
    <n v="3"/>
  </r>
  <r>
    <x v="201"/>
    <x v="7"/>
    <x v="3"/>
    <x v="0"/>
    <d v="1899-12-30T18:15:00"/>
    <s v="C202"/>
    <x v="3"/>
    <x v="2"/>
    <x v="5"/>
    <x v="0"/>
    <n v="1"/>
    <n v="13"/>
    <n v="13"/>
    <x v="1"/>
    <n v="13"/>
    <s v="Wallet"/>
    <n v="30"/>
    <s v="Late"/>
    <n v="3"/>
  </r>
  <r>
    <x v="202"/>
    <x v="20"/>
    <x v="3"/>
    <x v="0"/>
    <d v="1899-12-30T18:15:00"/>
    <s v="C203"/>
    <x v="1"/>
    <x v="5"/>
    <x v="5"/>
    <x v="0"/>
    <n v="3"/>
    <n v="13"/>
    <n v="39"/>
    <x v="1"/>
    <n v="39"/>
    <s v="Card"/>
    <n v="15"/>
    <s v="Delivered"/>
    <n v="1"/>
  </r>
  <r>
    <x v="203"/>
    <x v="5"/>
    <x v="1"/>
    <x v="0"/>
    <d v="1899-12-30T09:05:00"/>
    <s v="C204"/>
    <x v="1"/>
    <x v="0"/>
    <x v="8"/>
    <x v="5"/>
    <n v="4"/>
    <n v="65"/>
    <n v="260"/>
    <x v="0"/>
    <n v="250"/>
    <s v="Card"/>
    <n v="39"/>
    <s v="Late"/>
    <m/>
  </r>
  <r>
    <x v="204"/>
    <x v="6"/>
    <x v="0"/>
    <x v="0"/>
    <d v="1899-12-30T10:30:00"/>
    <s v="C205"/>
    <x v="6"/>
    <x v="1"/>
    <x v="3"/>
    <x v="2"/>
    <n v="5"/>
    <n v="36"/>
    <n v="180"/>
    <x v="1"/>
    <n v="180"/>
    <s v="Card"/>
    <n v="59"/>
    <s v="Delivered"/>
    <n v="3"/>
  </r>
  <r>
    <x v="205"/>
    <x v="12"/>
    <x v="6"/>
    <x v="0"/>
    <d v="1899-12-30T09:05:00"/>
    <s v="C206"/>
    <x v="1"/>
    <x v="0"/>
    <x v="6"/>
    <x v="3"/>
    <n v="6"/>
    <n v="39"/>
    <n v="234"/>
    <x v="0"/>
    <n v="224"/>
    <s v="Card"/>
    <n v="15"/>
    <s v="Late"/>
    <n v="1"/>
  </r>
  <r>
    <x v="206"/>
    <x v="12"/>
    <x v="6"/>
    <x v="0"/>
    <d v="1899-12-30T18:45:00"/>
    <s v="C207"/>
    <x v="1"/>
    <x v="6"/>
    <x v="4"/>
    <x v="1"/>
    <n v="3"/>
    <n v="89"/>
    <n v="267"/>
    <x v="1"/>
    <n v="267"/>
    <s v="Upi"/>
    <n v="33"/>
    <s v="Late"/>
    <m/>
  </r>
  <r>
    <x v="207"/>
    <x v="10"/>
    <x v="5"/>
    <x v="0"/>
    <d v="1899-12-30T18:45:00"/>
    <s v="C208"/>
    <x v="1"/>
    <x v="1"/>
    <x v="2"/>
    <x v="0"/>
    <n v="6"/>
    <n v="57"/>
    <n v="342"/>
    <x v="1"/>
    <n v="342"/>
    <s v="Upi"/>
    <n v="15"/>
    <s v="Late"/>
    <n v="3"/>
  </r>
  <r>
    <x v="208"/>
    <x v="9"/>
    <x v="4"/>
    <x v="1"/>
    <d v="1899-12-30T10:30:00"/>
    <s v="C209"/>
    <x v="2"/>
    <x v="4"/>
    <x v="0"/>
    <x v="0"/>
    <n v="4"/>
    <n v="54"/>
    <n v="216"/>
    <x v="1"/>
    <n v="216"/>
    <s v="Upi"/>
    <n v="16"/>
    <s v="Late"/>
    <n v="2"/>
  </r>
  <r>
    <x v="209"/>
    <x v="9"/>
    <x v="4"/>
    <x v="1"/>
    <d v="1899-12-30T18:45:00"/>
    <s v="C210"/>
    <x v="2"/>
    <x v="3"/>
    <x v="8"/>
    <x v="5"/>
    <n v="5"/>
    <n v="55"/>
    <n v="275"/>
    <x v="1"/>
    <n v="275"/>
    <s v="Upi"/>
    <n v="13"/>
    <s v="Late"/>
    <n v="2"/>
  </r>
  <r>
    <x v="210"/>
    <x v="9"/>
    <x v="4"/>
    <x v="1"/>
    <d v="1899-12-30T09:05:00"/>
    <s v="C211"/>
    <x v="4"/>
    <x v="1"/>
    <x v="2"/>
    <x v="0"/>
    <n v="5"/>
    <n v="10"/>
    <n v="50"/>
    <x v="1"/>
    <n v="50"/>
    <s v="Cod"/>
    <n v="40"/>
    <s v="Delivered"/>
    <m/>
  </r>
  <r>
    <x v="211"/>
    <x v="6"/>
    <x v="0"/>
    <x v="0"/>
    <d v="1899-12-30T18:45:00"/>
    <s v="C212"/>
    <x v="4"/>
    <x v="0"/>
    <x v="2"/>
    <x v="0"/>
    <n v="4"/>
    <n v="74"/>
    <n v="296"/>
    <x v="0"/>
    <n v="286"/>
    <s v="Upi"/>
    <n v="30"/>
    <s v="Late"/>
    <n v="4"/>
  </r>
  <r>
    <x v="212"/>
    <x v="12"/>
    <x v="6"/>
    <x v="0"/>
    <d v="1899-12-30T09:05:00"/>
    <s v="C213"/>
    <x v="1"/>
    <x v="0"/>
    <x v="5"/>
    <x v="0"/>
    <n v="5"/>
    <n v="60"/>
    <n v="300"/>
    <x v="1"/>
    <n v="300"/>
    <s v="Cod"/>
    <n v="47"/>
    <s v="Delivered"/>
    <n v="3"/>
  </r>
  <r>
    <x v="213"/>
    <x v="2"/>
    <x v="2"/>
    <x v="1"/>
    <d v="1899-12-30T10:30:00"/>
    <s v="C214"/>
    <x v="1"/>
    <x v="7"/>
    <x v="4"/>
    <x v="1"/>
    <n v="4"/>
    <n v="38"/>
    <n v="152"/>
    <x v="0"/>
    <n v="142"/>
    <s v="Upi"/>
    <n v="41"/>
    <s v="Late"/>
    <n v="5"/>
  </r>
  <r>
    <x v="214"/>
    <x v="8"/>
    <x v="3"/>
    <x v="0"/>
    <d v="1899-12-30T18:45:00"/>
    <s v="C215"/>
    <x v="1"/>
    <x v="3"/>
    <x v="4"/>
    <x v="1"/>
    <n v="6"/>
    <n v="78"/>
    <n v="468"/>
    <x v="2"/>
    <n v="463"/>
    <s v="Wallet"/>
    <n v="53"/>
    <s v="Late"/>
    <m/>
  </r>
  <r>
    <x v="215"/>
    <x v="18"/>
    <x v="6"/>
    <x v="0"/>
    <d v="1899-12-30T18:15:00"/>
    <s v="C216"/>
    <x v="2"/>
    <x v="4"/>
    <x v="1"/>
    <x v="1"/>
    <n v="5"/>
    <n v="42"/>
    <n v="210"/>
    <x v="2"/>
    <n v="205"/>
    <s v="Card"/>
    <n v="55"/>
    <s v="Late"/>
    <n v="5"/>
  </r>
  <r>
    <x v="216"/>
    <x v="4"/>
    <x v="2"/>
    <x v="1"/>
    <d v="1899-12-30T18:15:00"/>
    <s v="C217"/>
    <x v="1"/>
    <x v="7"/>
    <x v="8"/>
    <x v="5"/>
    <n v="2"/>
    <n v="117"/>
    <n v="234"/>
    <x v="0"/>
    <n v="224"/>
    <s v="Cod"/>
    <n v="56"/>
    <s v="Late"/>
    <n v="1"/>
  </r>
  <r>
    <x v="217"/>
    <x v="19"/>
    <x v="2"/>
    <x v="1"/>
    <d v="1899-12-30T18:45:00"/>
    <s v="C218"/>
    <x v="5"/>
    <x v="1"/>
    <x v="2"/>
    <x v="0"/>
    <n v="4"/>
    <n v="17"/>
    <n v="68"/>
    <x v="2"/>
    <n v="63"/>
    <s v="Upi"/>
    <n v="46"/>
    <s v="Delivered"/>
    <n v="4"/>
  </r>
  <r>
    <x v="218"/>
    <x v="12"/>
    <x v="6"/>
    <x v="0"/>
    <d v="1899-12-30T18:15:00"/>
    <s v="C219"/>
    <x v="2"/>
    <x v="4"/>
    <x v="3"/>
    <x v="2"/>
    <n v="1"/>
    <n v="68"/>
    <n v="68"/>
    <x v="2"/>
    <n v="63"/>
    <s v="Upi"/>
    <n v="39"/>
    <s v="Delivered"/>
    <n v="3"/>
  </r>
  <r>
    <x v="219"/>
    <x v="10"/>
    <x v="5"/>
    <x v="0"/>
    <d v="1899-12-30T09:05:00"/>
    <s v="C220"/>
    <x v="1"/>
    <x v="4"/>
    <x v="8"/>
    <x v="5"/>
    <n v="2"/>
    <n v="94"/>
    <n v="188"/>
    <x v="1"/>
    <n v="188"/>
    <s v="Upi"/>
    <n v="53"/>
    <s v="Late"/>
    <n v="5"/>
  </r>
  <r>
    <x v="220"/>
    <x v="14"/>
    <x v="0"/>
    <x v="0"/>
    <d v="1899-12-30T18:45:00"/>
    <s v="C221"/>
    <x v="5"/>
    <x v="2"/>
    <x v="0"/>
    <x v="0"/>
    <n v="6"/>
    <n v="67"/>
    <n v="402"/>
    <x v="1"/>
    <n v="402"/>
    <s v="Upi"/>
    <n v="14"/>
    <s v="Delivered"/>
    <m/>
  </r>
  <r>
    <x v="221"/>
    <x v="8"/>
    <x v="3"/>
    <x v="0"/>
    <d v="1899-12-30T18:15:00"/>
    <s v="C222"/>
    <x v="5"/>
    <x v="4"/>
    <x v="8"/>
    <x v="5"/>
    <n v="3"/>
    <n v="84"/>
    <n v="252"/>
    <x v="1"/>
    <n v="252"/>
    <s v="Cod"/>
    <n v="49"/>
    <s v="Late"/>
    <n v="4"/>
  </r>
  <r>
    <x v="222"/>
    <x v="5"/>
    <x v="1"/>
    <x v="0"/>
    <d v="1899-12-30T18:45:00"/>
    <s v="C223"/>
    <x v="0"/>
    <x v="1"/>
    <x v="0"/>
    <x v="0"/>
    <n v="5"/>
    <n v="113"/>
    <n v="565"/>
    <x v="1"/>
    <n v="565"/>
    <s v="Cod"/>
    <n v="45"/>
    <s v="Delivered"/>
    <n v="5"/>
  </r>
  <r>
    <x v="223"/>
    <x v="6"/>
    <x v="0"/>
    <x v="0"/>
    <d v="1899-12-30T10:30:00"/>
    <s v="C224"/>
    <x v="6"/>
    <x v="0"/>
    <x v="1"/>
    <x v="1"/>
    <n v="4"/>
    <n v="111"/>
    <n v="444"/>
    <x v="2"/>
    <n v="439"/>
    <s v="Card"/>
    <n v="36"/>
    <s v="Delivered"/>
    <n v="5"/>
  </r>
  <r>
    <x v="224"/>
    <x v="11"/>
    <x v="6"/>
    <x v="0"/>
    <d v="1899-12-30T09:05:00"/>
    <s v="C225"/>
    <x v="0"/>
    <x v="5"/>
    <x v="7"/>
    <x v="4"/>
    <n v="4"/>
    <n v="46"/>
    <n v="184"/>
    <x v="1"/>
    <n v="184"/>
    <s v="Card"/>
    <n v="39"/>
    <s v="Late"/>
    <n v="4"/>
  </r>
  <r>
    <x v="225"/>
    <x v="12"/>
    <x v="6"/>
    <x v="0"/>
    <d v="1899-12-30T18:15:00"/>
    <s v="C226"/>
    <x v="3"/>
    <x v="6"/>
    <x v="6"/>
    <x v="3"/>
    <n v="6"/>
    <n v="40"/>
    <n v="240"/>
    <x v="1"/>
    <n v="240"/>
    <s v="Upi"/>
    <n v="34"/>
    <s v="Delivered"/>
    <m/>
  </r>
  <r>
    <x v="226"/>
    <x v="14"/>
    <x v="0"/>
    <x v="0"/>
    <d v="1899-12-30T18:15:00"/>
    <s v="C227"/>
    <x v="0"/>
    <x v="1"/>
    <x v="3"/>
    <x v="2"/>
    <n v="6"/>
    <n v="18"/>
    <n v="108"/>
    <x v="2"/>
    <n v="103"/>
    <s v="Cod"/>
    <n v="13"/>
    <s v="Delivered"/>
    <n v="1"/>
  </r>
  <r>
    <x v="227"/>
    <x v="10"/>
    <x v="5"/>
    <x v="0"/>
    <d v="1899-12-30T18:15:00"/>
    <s v="C228"/>
    <x v="2"/>
    <x v="7"/>
    <x v="3"/>
    <x v="2"/>
    <n v="6"/>
    <n v="90"/>
    <n v="540"/>
    <x v="0"/>
    <n v="530"/>
    <s v="Cod"/>
    <n v="42"/>
    <s v="Late"/>
    <n v="4"/>
  </r>
  <r>
    <x v="228"/>
    <x v="4"/>
    <x v="2"/>
    <x v="1"/>
    <d v="1899-12-30T18:45:00"/>
    <s v="C229"/>
    <x v="5"/>
    <x v="3"/>
    <x v="7"/>
    <x v="4"/>
    <n v="2"/>
    <n v="68"/>
    <n v="136"/>
    <x v="0"/>
    <n v="126"/>
    <s v="Card"/>
    <n v="44"/>
    <s v="Delivered"/>
    <n v="1"/>
  </r>
  <r>
    <x v="229"/>
    <x v="14"/>
    <x v="0"/>
    <x v="0"/>
    <d v="1899-12-30T10:30:00"/>
    <s v="C230"/>
    <x v="2"/>
    <x v="1"/>
    <x v="6"/>
    <x v="3"/>
    <n v="2"/>
    <n v="47"/>
    <n v="94"/>
    <x v="2"/>
    <n v="89"/>
    <s v="Upi"/>
    <n v="60"/>
    <s v="Delivered"/>
    <n v="2"/>
  </r>
  <r>
    <x v="230"/>
    <x v="19"/>
    <x v="2"/>
    <x v="1"/>
    <d v="1899-12-30T09:05:00"/>
    <s v="C231"/>
    <x v="3"/>
    <x v="1"/>
    <x v="8"/>
    <x v="5"/>
    <n v="6"/>
    <n v="111"/>
    <n v="666"/>
    <x v="1"/>
    <n v="666"/>
    <s v="Cod"/>
    <n v="34"/>
    <s v="Delivered"/>
    <n v="4"/>
  </r>
  <r>
    <x v="231"/>
    <x v="0"/>
    <x v="0"/>
    <x v="0"/>
    <d v="1899-12-30T18:45:00"/>
    <s v="C232"/>
    <x v="1"/>
    <x v="1"/>
    <x v="0"/>
    <x v="0"/>
    <n v="5"/>
    <n v="69"/>
    <n v="345"/>
    <x v="0"/>
    <n v="335"/>
    <s v="Wallet"/>
    <n v="54"/>
    <s v="Late"/>
    <n v="4"/>
  </r>
  <r>
    <x v="232"/>
    <x v="4"/>
    <x v="2"/>
    <x v="1"/>
    <d v="1899-12-30T09:05:00"/>
    <s v="C233"/>
    <x v="4"/>
    <x v="6"/>
    <x v="0"/>
    <x v="0"/>
    <n v="2"/>
    <n v="103"/>
    <n v="206"/>
    <x v="2"/>
    <n v="201"/>
    <s v="Card"/>
    <n v="18"/>
    <s v="Delivered"/>
    <n v="1"/>
  </r>
  <r>
    <x v="233"/>
    <x v="6"/>
    <x v="0"/>
    <x v="0"/>
    <d v="1899-12-30T18:15:00"/>
    <s v="C234"/>
    <x v="4"/>
    <x v="2"/>
    <x v="2"/>
    <x v="0"/>
    <n v="4"/>
    <n v="38"/>
    <n v="152"/>
    <x v="1"/>
    <n v="152"/>
    <s v="Upi"/>
    <n v="57"/>
    <s v="Late"/>
    <n v="2"/>
  </r>
  <r>
    <x v="234"/>
    <x v="19"/>
    <x v="2"/>
    <x v="1"/>
    <d v="1899-12-30T18:15:00"/>
    <s v="C235"/>
    <x v="0"/>
    <x v="3"/>
    <x v="5"/>
    <x v="0"/>
    <n v="2"/>
    <n v="60"/>
    <n v="120"/>
    <x v="2"/>
    <n v="115"/>
    <s v="Cod"/>
    <n v="60"/>
    <s v="Late"/>
    <n v="3"/>
  </r>
  <r>
    <x v="235"/>
    <x v="3"/>
    <x v="2"/>
    <x v="1"/>
    <d v="1899-12-30T10:30:00"/>
    <s v="C236"/>
    <x v="5"/>
    <x v="4"/>
    <x v="3"/>
    <x v="2"/>
    <n v="5"/>
    <n v="72"/>
    <n v="360"/>
    <x v="1"/>
    <n v="360"/>
    <s v="Cod"/>
    <n v="38"/>
    <s v="Delivered"/>
    <n v="1"/>
  </r>
  <r>
    <x v="236"/>
    <x v="17"/>
    <x v="2"/>
    <x v="1"/>
    <d v="1899-12-30T18:15:00"/>
    <s v="C237"/>
    <x v="3"/>
    <x v="5"/>
    <x v="0"/>
    <x v="0"/>
    <n v="1"/>
    <n v="81"/>
    <n v="81"/>
    <x v="1"/>
    <n v="81"/>
    <s v="Upi"/>
    <n v="27"/>
    <s v="Late"/>
    <n v="3"/>
  </r>
  <r>
    <x v="237"/>
    <x v="14"/>
    <x v="0"/>
    <x v="0"/>
    <d v="1899-12-30T18:45:00"/>
    <s v="C238"/>
    <x v="1"/>
    <x v="6"/>
    <x v="7"/>
    <x v="4"/>
    <n v="4"/>
    <n v="52"/>
    <n v="208"/>
    <x v="1"/>
    <n v="208"/>
    <s v="Upi"/>
    <n v="39"/>
    <s v="Late"/>
    <m/>
  </r>
  <r>
    <x v="238"/>
    <x v="10"/>
    <x v="5"/>
    <x v="0"/>
    <d v="1899-12-30T10:30:00"/>
    <s v="C239"/>
    <x v="1"/>
    <x v="2"/>
    <x v="2"/>
    <x v="0"/>
    <n v="6"/>
    <n v="83"/>
    <n v="498"/>
    <x v="1"/>
    <n v="498"/>
    <s v="Upi"/>
    <n v="48"/>
    <s v="Late"/>
    <n v="5"/>
  </r>
  <r>
    <x v="239"/>
    <x v="5"/>
    <x v="1"/>
    <x v="0"/>
    <d v="1899-12-30T09:05:00"/>
    <s v="C240"/>
    <x v="0"/>
    <x v="1"/>
    <x v="2"/>
    <x v="0"/>
    <n v="5"/>
    <n v="50"/>
    <n v="250"/>
    <x v="1"/>
    <n v="250"/>
    <s v="Wallet"/>
    <n v="47"/>
    <s v="Late"/>
    <n v="1"/>
  </r>
  <r>
    <x v="240"/>
    <x v="17"/>
    <x v="2"/>
    <x v="1"/>
    <d v="1899-12-30T10:30:00"/>
    <s v="C241"/>
    <x v="1"/>
    <x v="1"/>
    <x v="8"/>
    <x v="5"/>
    <n v="6"/>
    <n v="11"/>
    <n v="66"/>
    <x v="1"/>
    <n v="66"/>
    <s v="Card"/>
    <n v="13"/>
    <s v="Late"/>
    <n v="4"/>
  </r>
  <r>
    <x v="241"/>
    <x v="19"/>
    <x v="2"/>
    <x v="1"/>
    <d v="1899-12-30T09:05:00"/>
    <s v="C242"/>
    <x v="1"/>
    <x v="4"/>
    <x v="3"/>
    <x v="2"/>
    <n v="2"/>
    <n v="55"/>
    <n v="110"/>
    <x v="1"/>
    <n v="110"/>
    <s v="Upi"/>
    <n v="50"/>
    <s v="Delivered"/>
    <n v="4"/>
  </r>
  <r>
    <x v="242"/>
    <x v="5"/>
    <x v="1"/>
    <x v="0"/>
    <d v="1899-12-30T10:30:00"/>
    <s v="C243"/>
    <x v="3"/>
    <x v="0"/>
    <x v="0"/>
    <x v="0"/>
    <n v="5"/>
    <n v="81"/>
    <n v="405"/>
    <x v="1"/>
    <n v="405"/>
    <s v="Upi"/>
    <n v="33"/>
    <s v="Delivered"/>
    <n v="4"/>
  </r>
  <r>
    <x v="243"/>
    <x v="4"/>
    <x v="2"/>
    <x v="1"/>
    <d v="1899-12-30T18:45:00"/>
    <s v="C244"/>
    <x v="1"/>
    <x v="6"/>
    <x v="0"/>
    <x v="0"/>
    <n v="2"/>
    <n v="88"/>
    <n v="176"/>
    <x v="0"/>
    <n v="166"/>
    <s v="Cod"/>
    <n v="47"/>
    <s v="Delivered"/>
    <n v="5"/>
  </r>
  <r>
    <x v="244"/>
    <x v="5"/>
    <x v="1"/>
    <x v="0"/>
    <d v="1899-12-30T18:15:00"/>
    <s v="C245"/>
    <x v="3"/>
    <x v="6"/>
    <x v="3"/>
    <x v="2"/>
    <n v="2"/>
    <n v="102"/>
    <n v="204"/>
    <x v="0"/>
    <n v="194"/>
    <s v="Wallet"/>
    <n v="37"/>
    <s v="Late"/>
    <n v="4"/>
  </r>
  <r>
    <x v="245"/>
    <x v="2"/>
    <x v="2"/>
    <x v="1"/>
    <d v="1899-12-30T18:15:00"/>
    <s v="C246"/>
    <x v="0"/>
    <x v="2"/>
    <x v="7"/>
    <x v="4"/>
    <n v="2"/>
    <n v="64"/>
    <n v="128"/>
    <x v="2"/>
    <n v="123"/>
    <s v="Card"/>
    <n v="58"/>
    <s v="Delivered"/>
    <n v="2"/>
  </r>
  <r>
    <x v="246"/>
    <x v="12"/>
    <x v="6"/>
    <x v="0"/>
    <d v="1899-12-30T09:05:00"/>
    <s v="C247"/>
    <x v="6"/>
    <x v="0"/>
    <x v="4"/>
    <x v="1"/>
    <n v="4"/>
    <n v="14"/>
    <n v="56"/>
    <x v="1"/>
    <n v="56"/>
    <s v="Card"/>
    <n v="44"/>
    <s v="Delivered"/>
    <n v="1"/>
  </r>
  <r>
    <x v="247"/>
    <x v="20"/>
    <x v="3"/>
    <x v="0"/>
    <d v="1899-12-30T18:45:00"/>
    <s v="C248"/>
    <x v="1"/>
    <x v="4"/>
    <x v="4"/>
    <x v="1"/>
    <n v="3"/>
    <n v="85"/>
    <n v="255"/>
    <x v="1"/>
    <n v="255"/>
    <s v="Upi"/>
    <n v="57"/>
    <s v="Delivered"/>
    <n v="3"/>
  </r>
  <r>
    <x v="248"/>
    <x v="11"/>
    <x v="6"/>
    <x v="0"/>
    <d v="1899-12-30T18:45:00"/>
    <s v="C249"/>
    <x v="0"/>
    <x v="5"/>
    <x v="7"/>
    <x v="4"/>
    <n v="2"/>
    <n v="25"/>
    <n v="50"/>
    <x v="0"/>
    <n v="40"/>
    <s v="Upi"/>
    <n v="22"/>
    <s v="Delivered"/>
    <n v="5"/>
  </r>
  <r>
    <x v="249"/>
    <x v="20"/>
    <x v="3"/>
    <x v="0"/>
    <d v="1899-12-30T18:15:00"/>
    <s v="C250"/>
    <x v="4"/>
    <x v="6"/>
    <x v="6"/>
    <x v="3"/>
    <n v="5"/>
    <n v="14"/>
    <n v="70"/>
    <x v="1"/>
    <n v="70"/>
    <s v="Wallet"/>
    <n v="51"/>
    <s v="Delivered"/>
    <n v="1"/>
  </r>
  <r>
    <x v="250"/>
    <x v="11"/>
    <x v="6"/>
    <x v="0"/>
    <d v="1899-12-30T18:15:00"/>
    <s v="C251"/>
    <x v="3"/>
    <x v="3"/>
    <x v="2"/>
    <x v="0"/>
    <n v="3"/>
    <n v="84"/>
    <n v="252"/>
    <x v="1"/>
    <n v="252"/>
    <s v="Card"/>
    <n v="36"/>
    <s v="Delivered"/>
    <m/>
  </r>
  <r>
    <x v="251"/>
    <x v="10"/>
    <x v="5"/>
    <x v="0"/>
    <d v="1899-12-30T18:45:00"/>
    <s v="C252"/>
    <x v="5"/>
    <x v="3"/>
    <x v="6"/>
    <x v="3"/>
    <n v="2"/>
    <n v="28"/>
    <n v="56"/>
    <x v="1"/>
    <n v="56"/>
    <s v="Card"/>
    <n v="36"/>
    <s v="Late"/>
    <m/>
  </r>
  <r>
    <x v="252"/>
    <x v="9"/>
    <x v="4"/>
    <x v="1"/>
    <d v="1899-12-30T18:45:00"/>
    <s v="C253"/>
    <x v="3"/>
    <x v="2"/>
    <x v="2"/>
    <x v="0"/>
    <n v="6"/>
    <n v="73"/>
    <n v="438"/>
    <x v="1"/>
    <n v="438"/>
    <s v="Upi"/>
    <n v="40"/>
    <s v="Late"/>
    <n v="1"/>
  </r>
  <r>
    <x v="253"/>
    <x v="10"/>
    <x v="5"/>
    <x v="0"/>
    <d v="1899-12-30T10:30:00"/>
    <s v="C254"/>
    <x v="0"/>
    <x v="4"/>
    <x v="5"/>
    <x v="0"/>
    <n v="3"/>
    <n v="42"/>
    <n v="126"/>
    <x v="0"/>
    <n v="116"/>
    <s v="Wallet"/>
    <n v="38"/>
    <s v="Delivered"/>
    <m/>
  </r>
  <r>
    <x v="254"/>
    <x v="3"/>
    <x v="2"/>
    <x v="1"/>
    <d v="1899-12-30T10:30:00"/>
    <s v="C255"/>
    <x v="1"/>
    <x v="4"/>
    <x v="6"/>
    <x v="3"/>
    <n v="1"/>
    <n v="99"/>
    <n v="99"/>
    <x v="2"/>
    <n v="94"/>
    <s v="Card"/>
    <n v="60"/>
    <s v="Late"/>
    <n v="4"/>
  </r>
  <r>
    <x v="255"/>
    <x v="10"/>
    <x v="5"/>
    <x v="0"/>
    <d v="1899-12-30T10:30:00"/>
    <s v="C256"/>
    <x v="6"/>
    <x v="4"/>
    <x v="0"/>
    <x v="0"/>
    <n v="5"/>
    <n v="35"/>
    <n v="175"/>
    <x v="0"/>
    <n v="165"/>
    <s v="Cod"/>
    <n v="19"/>
    <s v="Delivered"/>
    <n v="4"/>
  </r>
  <r>
    <x v="256"/>
    <x v="20"/>
    <x v="3"/>
    <x v="0"/>
    <d v="1899-12-30T18:45:00"/>
    <s v="C257"/>
    <x v="4"/>
    <x v="7"/>
    <x v="2"/>
    <x v="0"/>
    <n v="3"/>
    <n v="41"/>
    <n v="123"/>
    <x v="1"/>
    <n v="123"/>
    <s v="Upi"/>
    <n v="38"/>
    <s v="Late"/>
    <n v="2"/>
  </r>
  <r>
    <x v="257"/>
    <x v="1"/>
    <x v="1"/>
    <x v="0"/>
    <d v="1899-12-30T10:30:00"/>
    <s v="C258"/>
    <x v="5"/>
    <x v="0"/>
    <x v="8"/>
    <x v="5"/>
    <n v="4"/>
    <n v="50"/>
    <n v="200"/>
    <x v="1"/>
    <n v="200"/>
    <s v="Card"/>
    <n v="44"/>
    <s v="Delivered"/>
    <n v="1"/>
  </r>
  <r>
    <x v="258"/>
    <x v="0"/>
    <x v="0"/>
    <x v="0"/>
    <d v="1899-12-30T10:30:00"/>
    <s v="C259"/>
    <x v="3"/>
    <x v="5"/>
    <x v="0"/>
    <x v="0"/>
    <n v="1"/>
    <n v="62"/>
    <n v="62"/>
    <x v="0"/>
    <n v="52"/>
    <s v="Upi"/>
    <n v="47"/>
    <s v="Late"/>
    <n v="3"/>
  </r>
  <r>
    <x v="259"/>
    <x v="13"/>
    <x v="5"/>
    <x v="0"/>
    <d v="1899-12-30T18:45:00"/>
    <s v="C260"/>
    <x v="1"/>
    <x v="2"/>
    <x v="0"/>
    <x v="0"/>
    <n v="6"/>
    <n v="63"/>
    <n v="378"/>
    <x v="0"/>
    <n v="368"/>
    <s v="Card"/>
    <n v="44"/>
    <s v="Delivered"/>
    <n v="1"/>
  </r>
  <r>
    <x v="260"/>
    <x v="15"/>
    <x v="5"/>
    <x v="0"/>
    <d v="1899-12-30T09:05:00"/>
    <s v="C261"/>
    <x v="6"/>
    <x v="1"/>
    <x v="5"/>
    <x v="0"/>
    <n v="4"/>
    <n v="114"/>
    <n v="456"/>
    <x v="1"/>
    <n v="456"/>
    <s v="Cod"/>
    <n v="22"/>
    <s v="Late"/>
    <n v="2"/>
  </r>
  <r>
    <x v="261"/>
    <x v="14"/>
    <x v="0"/>
    <x v="0"/>
    <d v="1899-12-30T09:05:00"/>
    <s v="C262"/>
    <x v="4"/>
    <x v="1"/>
    <x v="2"/>
    <x v="0"/>
    <n v="2"/>
    <n v="99"/>
    <n v="198"/>
    <x v="0"/>
    <n v="188"/>
    <s v="Cod"/>
    <n v="44"/>
    <s v="Delivered"/>
    <n v="5"/>
  </r>
  <r>
    <x v="262"/>
    <x v="14"/>
    <x v="0"/>
    <x v="0"/>
    <d v="1899-12-30T18:45:00"/>
    <s v="C263"/>
    <x v="0"/>
    <x v="4"/>
    <x v="0"/>
    <x v="0"/>
    <n v="6"/>
    <n v="91"/>
    <n v="546"/>
    <x v="2"/>
    <n v="541"/>
    <s v="Upi"/>
    <n v="44"/>
    <s v="Late"/>
    <n v="5"/>
  </r>
  <r>
    <x v="263"/>
    <x v="6"/>
    <x v="0"/>
    <x v="0"/>
    <d v="1899-12-30T18:15:00"/>
    <s v="C264"/>
    <x v="1"/>
    <x v="4"/>
    <x v="1"/>
    <x v="1"/>
    <n v="4"/>
    <n v="38"/>
    <n v="152"/>
    <x v="1"/>
    <n v="152"/>
    <s v="Upi"/>
    <n v="16"/>
    <s v="Delivered"/>
    <n v="4"/>
  </r>
  <r>
    <x v="264"/>
    <x v="4"/>
    <x v="2"/>
    <x v="1"/>
    <d v="1899-12-30T18:15:00"/>
    <s v="C265"/>
    <x v="3"/>
    <x v="1"/>
    <x v="7"/>
    <x v="4"/>
    <n v="2"/>
    <n v="30"/>
    <n v="60"/>
    <x v="2"/>
    <n v="55"/>
    <s v="Cod"/>
    <n v="15"/>
    <s v="Delivered"/>
    <n v="4"/>
  </r>
  <r>
    <x v="265"/>
    <x v="1"/>
    <x v="1"/>
    <x v="0"/>
    <d v="1899-12-30T10:30:00"/>
    <s v="C266"/>
    <x v="6"/>
    <x v="0"/>
    <x v="1"/>
    <x v="1"/>
    <n v="2"/>
    <n v="70"/>
    <n v="140"/>
    <x v="1"/>
    <n v="140"/>
    <s v="Wallet"/>
    <n v="38"/>
    <s v="Delivered"/>
    <n v="4"/>
  </r>
  <r>
    <x v="266"/>
    <x v="18"/>
    <x v="6"/>
    <x v="0"/>
    <d v="1899-12-30T18:15:00"/>
    <s v="C267"/>
    <x v="0"/>
    <x v="7"/>
    <x v="1"/>
    <x v="1"/>
    <n v="6"/>
    <n v="20"/>
    <n v="120"/>
    <x v="1"/>
    <n v="120"/>
    <s v="Upi"/>
    <n v="59"/>
    <s v="Delivered"/>
    <n v="3"/>
  </r>
  <r>
    <x v="267"/>
    <x v="6"/>
    <x v="0"/>
    <x v="0"/>
    <d v="1899-12-30T09:05:00"/>
    <s v="C268"/>
    <x v="3"/>
    <x v="6"/>
    <x v="2"/>
    <x v="0"/>
    <n v="1"/>
    <n v="27"/>
    <n v="27"/>
    <x v="2"/>
    <n v="22"/>
    <s v="Upi"/>
    <n v="24"/>
    <s v="Delivered"/>
    <n v="5"/>
  </r>
  <r>
    <x v="268"/>
    <x v="7"/>
    <x v="3"/>
    <x v="0"/>
    <d v="1899-12-30T18:15:00"/>
    <s v="C269"/>
    <x v="6"/>
    <x v="1"/>
    <x v="3"/>
    <x v="2"/>
    <n v="3"/>
    <n v="78"/>
    <n v="234"/>
    <x v="1"/>
    <n v="234"/>
    <s v="Card"/>
    <n v="38"/>
    <s v="Late"/>
    <n v="1"/>
  </r>
  <r>
    <x v="269"/>
    <x v="11"/>
    <x v="6"/>
    <x v="0"/>
    <d v="1899-12-30T10:30:00"/>
    <s v="C270"/>
    <x v="2"/>
    <x v="2"/>
    <x v="4"/>
    <x v="1"/>
    <n v="2"/>
    <n v="94"/>
    <n v="188"/>
    <x v="1"/>
    <n v="188"/>
    <s v="Upi"/>
    <n v="42"/>
    <s v="Delivered"/>
    <n v="3"/>
  </r>
  <r>
    <x v="270"/>
    <x v="11"/>
    <x v="6"/>
    <x v="0"/>
    <d v="1899-12-30T09:05:00"/>
    <s v="C271"/>
    <x v="1"/>
    <x v="0"/>
    <x v="8"/>
    <x v="5"/>
    <n v="3"/>
    <n v="18"/>
    <n v="54"/>
    <x v="1"/>
    <n v="54"/>
    <s v="Cod"/>
    <n v="29"/>
    <s v="Delivered"/>
    <n v="2"/>
  </r>
  <r>
    <x v="271"/>
    <x v="6"/>
    <x v="0"/>
    <x v="0"/>
    <d v="1899-12-30T18:15:00"/>
    <s v="C272"/>
    <x v="0"/>
    <x v="1"/>
    <x v="7"/>
    <x v="4"/>
    <n v="3"/>
    <n v="101"/>
    <n v="303"/>
    <x v="0"/>
    <n v="293"/>
    <s v="Upi"/>
    <n v="47"/>
    <s v="Delivered"/>
    <n v="2"/>
  </r>
  <r>
    <x v="272"/>
    <x v="5"/>
    <x v="1"/>
    <x v="0"/>
    <d v="1899-12-30T18:15:00"/>
    <s v="C273"/>
    <x v="6"/>
    <x v="6"/>
    <x v="6"/>
    <x v="3"/>
    <n v="4"/>
    <n v="24"/>
    <n v="96"/>
    <x v="1"/>
    <n v="96"/>
    <s v="Upi"/>
    <n v="33"/>
    <s v="Late"/>
    <n v="4"/>
  </r>
  <r>
    <x v="273"/>
    <x v="19"/>
    <x v="2"/>
    <x v="1"/>
    <d v="1899-12-30T18:15:00"/>
    <s v="C274"/>
    <x v="1"/>
    <x v="5"/>
    <x v="0"/>
    <x v="0"/>
    <n v="5"/>
    <n v="86"/>
    <n v="440"/>
    <x v="2"/>
    <n v="425"/>
    <s v="Cod"/>
    <n v="58"/>
    <s v="Late"/>
    <n v="3"/>
  </r>
  <r>
    <x v="274"/>
    <x v="19"/>
    <x v="2"/>
    <x v="1"/>
    <d v="1899-12-30T10:30:00"/>
    <s v="C275"/>
    <x v="2"/>
    <x v="0"/>
    <x v="6"/>
    <x v="3"/>
    <n v="6"/>
    <n v="33"/>
    <n v="198"/>
    <x v="2"/>
    <n v="193"/>
    <s v="Upi"/>
    <n v="28"/>
    <s v="Delivered"/>
    <n v="5"/>
  </r>
  <r>
    <x v="275"/>
    <x v="16"/>
    <x v="4"/>
    <x v="1"/>
    <d v="1899-12-30T18:15:00"/>
    <s v="C276"/>
    <x v="3"/>
    <x v="3"/>
    <x v="1"/>
    <x v="1"/>
    <n v="6"/>
    <n v="11"/>
    <n v="66"/>
    <x v="1"/>
    <n v="66"/>
    <s v="Card"/>
    <n v="38"/>
    <s v="Delivered"/>
    <m/>
  </r>
  <r>
    <x v="276"/>
    <x v="18"/>
    <x v="6"/>
    <x v="0"/>
    <d v="1899-12-30T18:45:00"/>
    <s v="C277"/>
    <x v="6"/>
    <x v="5"/>
    <x v="2"/>
    <x v="0"/>
    <n v="5"/>
    <n v="46"/>
    <n v="230"/>
    <x v="1"/>
    <n v="230"/>
    <s v="Wallet"/>
    <n v="51"/>
    <s v="Delivered"/>
    <m/>
  </r>
  <r>
    <x v="277"/>
    <x v="6"/>
    <x v="0"/>
    <x v="0"/>
    <d v="1899-12-30T18:45:00"/>
    <s v="C278"/>
    <x v="6"/>
    <x v="0"/>
    <x v="5"/>
    <x v="0"/>
    <n v="4"/>
    <n v="102"/>
    <n v="408"/>
    <x v="1"/>
    <n v="408"/>
    <s v="Upi"/>
    <n v="43"/>
    <s v="Delivered"/>
    <n v="2"/>
  </r>
  <r>
    <x v="278"/>
    <x v="1"/>
    <x v="1"/>
    <x v="0"/>
    <d v="1899-12-30T18:15:00"/>
    <s v="C279"/>
    <x v="2"/>
    <x v="5"/>
    <x v="7"/>
    <x v="4"/>
    <n v="2"/>
    <n v="63"/>
    <n v="126"/>
    <x v="1"/>
    <n v="126"/>
    <s v="Wallet"/>
    <n v="14"/>
    <s v="Delivered"/>
    <n v="5"/>
  </r>
  <r>
    <x v="279"/>
    <x v="14"/>
    <x v="0"/>
    <x v="0"/>
    <d v="1899-12-30T18:15:00"/>
    <s v="C280"/>
    <x v="1"/>
    <x v="0"/>
    <x v="1"/>
    <x v="1"/>
    <n v="6"/>
    <n v="14"/>
    <n v="84"/>
    <x v="1"/>
    <n v="84"/>
    <s v="Upi"/>
    <n v="28"/>
    <s v="Delivered"/>
    <n v="2"/>
  </r>
  <r>
    <x v="280"/>
    <x v="4"/>
    <x v="2"/>
    <x v="1"/>
    <d v="1899-12-30T18:15:00"/>
    <s v="C281"/>
    <x v="1"/>
    <x v="6"/>
    <x v="5"/>
    <x v="0"/>
    <n v="1"/>
    <n v="33"/>
    <n v="33"/>
    <x v="1"/>
    <n v="33"/>
    <s v="Upi"/>
    <n v="37"/>
    <s v="Delivered"/>
    <n v="3"/>
  </r>
  <r>
    <x v="281"/>
    <x v="10"/>
    <x v="5"/>
    <x v="0"/>
    <d v="1899-12-30T10:30:00"/>
    <s v="C282"/>
    <x v="2"/>
    <x v="0"/>
    <x v="0"/>
    <x v="0"/>
    <n v="3"/>
    <n v="95"/>
    <n v="285"/>
    <x v="0"/>
    <n v="275"/>
    <s v="Upi"/>
    <n v="21"/>
    <s v="Late"/>
    <n v="3"/>
  </r>
  <r>
    <x v="282"/>
    <x v="14"/>
    <x v="0"/>
    <x v="0"/>
    <d v="1899-12-30T18:45:00"/>
    <s v="C283"/>
    <x v="6"/>
    <x v="5"/>
    <x v="0"/>
    <x v="0"/>
    <n v="4"/>
    <n v="14"/>
    <n v="66"/>
    <x v="1"/>
    <n v="56"/>
    <s v="Upi"/>
    <n v="35"/>
    <s v="Delivered"/>
    <n v="4"/>
  </r>
  <r>
    <x v="283"/>
    <x v="15"/>
    <x v="5"/>
    <x v="0"/>
    <d v="1899-12-30T18:15:00"/>
    <s v="C284"/>
    <x v="3"/>
    <x v="5"/>
    <x v="6"/>
    <x v="3"/>
    <n v="1"/>
    <n v="82"/>
    <n v="82"/>
    <x v="2"/>
    <n v="77"/>
    <s v="Upi"/>
    <n v="18"/>
    <s v="Delivered"/>
    <n v="3"/>
  </r>
  <r>
    <x v="284"/>
    <x v="16"/>
    <x v="4"/>
    <x v="1"/>
    <d v="1899-12-30T10:30:00"/>
    <s v="C285"/>
    <x v="5"/>
    <x v="3"/>
    <x v="0"/>
    <x v="0"/>
    <n v="1"/>
    <n v="49"/>
    <n v="49"/>
    <x v="1"/>
    <n v="49"/>
    <s v="Card"/>
    <n v="38"/>
    <s v="Late"/>
    <n v="2"/>
  </r>
  <r>
    <x v="285"/>
    <x v="20"/>
    <x v="3"/>
    <x v="0"/>
    <d v="1899-12-30T18:45:00"/>
    <s v="C286"/>
    <x v="4"/>
    <x v="0"/>
    <x v="4"/>
    <x v="1"/>
    <n v="2"/>
    <n v="56"/>
    <n v="112"/>
    <x v="2"/>
    <n v="107"/>
    <s v="Card"/>
    <n v="39"/>
    <s v="Late"/>
    <n v="3"/>
  </r>
  <r>
    <x v="286"/>
    <x v="20"/>
    <x v="3"/>
    <x v="0"/>
    <d v="1899-12-30T18:15:00"/>
    <s v="C287"/>
    <x v="4"/>
    <x v="4"/>
    <x v="1"/>
    <x v="1"/>
    <n v="2"/>
    <n v="68"/>
    <n v="136"/>
    <x v="1"/>
    <n v="136"/>
    <s v="Cod"/>
    <n v="23"/>
    <s v="Delivered"/>
    <n v="1"/>
  </r>
  <r>
    <x v="287"/>
    <x v="10"/>
    <x v="5"/>
    <x v="0"/>
    <d v="1899-12-30T18:45:00"/>
    <s v="C288"/>
    <x v="0"/>
    <x v="2"/>
    <x v="0"/>
    <x v="0"/>
    <n v="4"/>
    <n v="79"/>
    <n v="316"/>
    <x v="1"/>
    <n v="316"/>
    <s v="Card"/>
    <n v="29"/>
    <s v="Late"/>
    <n v="3"/>
  </r>
  <r>
    <x v="288"/>
    <x v="0"/>
    <x v="0"/>
    <x v="0"/>
    <d v="1899-12-30T09:05:00"/>
    <s v="C289"/>
    <x v="0"/>
    <x v="4"/>
    <x v="8"/>
    <x v="5"/>
    <n v="2"/>
    <n v="33"/>
    <n v="66"/>
    <x v="1"/>
    <n v="66"/>
    <s v="Cod"/>
    <n v="11"/>
    <s v="Delivered"/>
    <n v="3"/>
  </r>
  <r>
    <x v="289"/>
    <x v="7"/>
    <x v="3"/>
    <x v="0"/>
    <d v="1899-12-30T10:30:00"/>
    <s v="C290"/>
    <x v="6"/>
    <x v="4"/>
    <x v="3"/>
    <x v="2"/>
    <n v="2"/>
    <n v="31"/>
    <n v="62"/>
    <x v="2"/>
    <n v="57"/>
    <s v="Upi"/>
    <n v="54"/>
    <s v="Delivered"/>
    <n v="4"/>
  </r>
  <r>
    <x v="290"/>
    <x v="18"/>
    <x v="6"/>
    <x v="0"/>
    <d v="1899-12-30T10:30:00"/>
    <s v="C291"/>
    <x v="0"/>
    <x v="2"/>
    <x v="7"/>
    <x v="4"/>
    <n v="5"/>
    <n v="31"/>
    <n v="155"/>
    <x v="1"/>
    <n v="155"/>
    <s v="Wallet"/>
    <n v="29"/>
    <s v="Delivered"/>
    <n v="4"/>
  </r>
  <r>
    <x v="291"/>
    <x v="12"/>
    <x v="6"/>
    <x v="0"/>
    <d v="1899-12-30T10:30:00"/>
    <s v="C292"/>
    <x v="2"/>
    <x v="1"/>
    <x v="4"/>
    <x v="1"/>
    <n v="5"/>
    <n v="31"/>
    <n v="155"/>
    <x v="2"/>
    <n v="150"/>
    <s v="Cod"/>
    <n v="14"/>
    <s v="Delivered"/>
    <m/>
  </r>
  <r>
    <x v="292"/>
    <x v="0"/>
    <x v="0"/>
    <x v="0"/>
    <d v="1899-12-30T09:05:00"/>
    <s v="C293"/>
    <x v="0"/>
    <x v="4"/>
    <x v="2"/>
    <x v="0"/>
    <n v="2"/>
    <n v="11"/>
    <n v="22"/>
    <x v="0"/>
    <n v="12"/>
    <s v="Cod"/>
    <n v="59"/>
    <s v="Delivered"/>
    <n v="1"/>
  </r>
  <r>
    <x v="293"/>
    <x v="16"/>
    <x v="4"/>
    <x v="1"/>
    <d v="1899-12-30T09:05:00"/>
    <s v="C294"/>
    <x v="0"/>
    <x v="4"/>
    <x v="5"/>
    <x v="0"/>
    <n v="6"/>
    <n v="16"/>
    <n v="96"/>
    <x v="0"/>
    <n v="86"/>
    <s v="Upi"/>
    <n v="59"/>
    <s v="Late"/>
    <n v="2"/>
  </r>
  <r>
    <x v="294"/>
    <x v="20"/>
    <x v="3"/>
    <x v="0"/>
    <d v="1899-12-30T10:30:00"/>
    <s v="C295"/>
    <x v="1"/>
    <x v="0"/>
    <x v="7"/>
    <x v="4"/>
    <n v="4"/>
    <n v="46"/>
    <n v="184"/>
    <x v="0"/>
    <n v="174"/>
    <s v="Upi"/>
    <n v="21"/>
    <s v="Delivered"/>
    <n v="5"/>
  </r>
  <r>
    <x v="295"/>
    <x v="4"/>
    <x v="2"/>
    <x v="1"/>
    <d v="1899-12-30T10:30:00"/>
    <s v="C296"/>
    <x v="3"/>
    <x v="3"/>
    <x v="8"/>
    <x v="5"/>
    <n v="3"/>
    <n v="92"/>
    <n v="276"/>
    <x v="2"/>
    <n v="271"/>
    <s v="Cod"/>
    <n v="44"/>
    <s v="Delivered"/>
    <n v="4"/>
  </r>
  <r>
    <x v="296"/>
    <x v="2"/>
    <x v="2"/>
    <x v="1"/>
    <d v="1899-12-30T18:15:00"/>
    <s v="C297"/>
    <x v="4"/>
    <x v="1"/>
    <x v="1"/>
    <x v="1"/>
    <n v="4"/>
    <n v="104"/>
    <n v="416"/>
    <x v="1"/>
    <n v="416"/>
    <s v="Upi"/>
    <n v="37"/>
    <s v="Delivered"/>
    <n v="2"/>
  </r>
  <r>
    <x v="297"/>
    <x v="3"/>
    <x v="2"/>
    <x v="1"/>
    <d v="1899-12-30T10:30:00"/>
    <s v="C298"/>
    <x v="3"/>
    <x v="4"/>
    <x v="0"/>
    <x v="0"/>
    <n v="6"/>
    <n v="75"/>
    <n v="450"/>
    <x v="1"/>
    <n v="450"/>
    <s v="Cod"/>
    <n v="13"/>
    <s v="Late"/>
    <n v="4"/>
  </r>
  <r>
    <x v="298"/>
    <x v="14"/>
    <x v="0"/>
    <x v="0"/>
    <d v="1899-12-30T09:05:00"/>
    <s v="C299"/>
    <x v="4"/>
    <x v="1"/>
    <x v="5"/>
    <x v="0"/>
    <n v="1"/>
    <n v="113"/>
    <n v="113"/>
    <x v="2"/>
    <n v="108"/>
    <s v="Upi"/>
    <n v="46"/>
    <s v="Delivered"/>
    <n v="4"/>
  </r>
  <r>
    <x v="299"/>
    <x v="14"/>
    <x v="0"/>
    <x v="0"/>
    <d v="1899-12-30T09:05:00"/>
    <s v="C300"/>
    <x v="4"/>
    <x v="6"/>
    <x v="3"/>
    <x v="2"/>
    <n v="6"/>
    <n v="80"/>
    <n v="480"/>
    <x v="1"/>
    <n v="480"/>
    <s v="Card"/>
    <n v="34"/>
    <s v="Delivered"/>
    <n v="5"/>
  </r>
  <r>
    <x v="300"/>
    <x v="8"/>
    <x v="3"/>
    <x v="0"/>
    <d v="1899-12-30T18:45:00"/>
    <s v="C301"/>
    <x v="0"/>
    <x v="7"/>
    <x v="4"/>
    <x v="1"/>
    <n v="4"/>
    <n v="108"/>
    <n v="432"/>
    <x v="1"/>
    <n v="432"/>
    <s v="Upi"/>
    <n v="29"/>
    <s v="Delivered"/>
    <m/>
  </r>
  <r>
    <x v="301"/>
    <x v="12"/>
    <x v="6"/>
    <x v="0"/>
    <d v="1899-12-30T18:15:00"/>
    <s v="C302"/>
    <x v="1"/>
    <x v="7"/>
    <x v="7"/>
    <x v="4"/>
    <n v="3"/>
    <n v="21"/>
    <n v="63"/>
    <x v="1"/>
    <n v="63"/>
    <s v="Cod"/>
    <n v="44"/>
    <s v="Delivered"/>
    <n v="5"/>
  </r>
  <r>
    <x v="302"/>
    <x v="14"/>
    <x v="0"/>
    <x v="0"/>
    <d v="1899-12-30T18:15:00"/>
    <s v="C303"/>
    <x v="1"/>
    <x v="5"/>
    <x v="7"/>
    <x v="4"/>
    <n v="2"/>
    <n v="59"/>
    <n v="118"/>
    <x v="0"/>
    <n v="108"/>
    <s v="Upi"/>
    <n v="13"/>
    <s v="Delivered"/>
    <n v="4"/>
  </r>
  <r>
    <x v="303"/>
    <x v="14"/>
    <x v="0"/>
    <x v="0"/>
    <d v="1899-12-30T18:45:00"/>
    <s v="C304"/>
    <x v="5"/>
    <x v="5"/>
    <x v="1"/>
    <x v="1"/>
    <n v="2"/>
    <n v="28"/>
    <n v="56"/>
    <x v="1"/>
    <n v="56"/>
    <s v="Card"/>
    <n v="14"/>
    <s v="Delivered"/>
    <n v="3"/>
  </r>
  <r>
    <x v="304"/>
    <x v="12"/>
    <x v="6"/>
    <x v="0"/>
    <d v="1899-12-30T10:30:00"/>
    <s v="C305"/>
    <x v="3"/>
    <x v="5"/>
    <x v="8"/>
    <x v="5"/>
    <n v="1"/>
    <n v="71"/>
    <n v="71"/>
    <x v="1"/>
    <n v="71"/>
    <s v="Upi"/>
    <n v="24"/>
    <s v="Late"/>
    <m/>
  </r>
  <r>
    <x v="305"/>
    <x v="20"/>
    <x v="3"/>
    <x v="0"/>
    <d v="1899-12-30T09:05:00"/>
    <s v="C306"/>
    <x v="3"/>
    <x v="4"/>
    <x v="1"/>
    <x v="1"/>
    <n v="5"/>
    <n v="28"/>
    <n v="140"/>
    <x v="1"/>
    <n v="140"/>
    <s v="Wallet"/>
    <n v="21"/>
    <s v="Late"/>
    <m/>
  </r>
  <r>
    <x v="306"/>
    <x v="12"/>
    <x v="6"/>
    <x v="0"/>
    <d v="1899-12-30T18:45:00"/>
    <s v="C307"/>
    <x v="0"/>
    <x v="4"/>
    <x v="8"/>
    <x v="5"/>
    <n v="4"/>
    <n v="55"/>
    <n v="220"/>
    <x v="1"/>
    <n v="220"/>
    <s v="Upi"/>
    <n v="49"/>
    <s v="Delivered"/>
    <n v="3"/>
  </r>
  <r>
    <x v="307"/>
    <x v="5"/>
    <x v="1"/>
    <x v="0"/>
    <d v="1899-12-30T18:45:00"/>
    <s v="C308"/>
    <x v="0"/>
    <x v="1"/>
    <x v="2"/>
    <x v="0"/>
    <n v="1"/>
    <n v="27"/>
    <n v="27"/>
    <x v="2"/>
    <n v="22"/>
    <s v="Card"/>
    <n v="58"/>
    <s v="Delivered"/>
    <n v="1"/>
  </r>
  <r>
    <x v="308"/>
    <x v="9"/>
    <x v="4"/>
    <x v="1"/>
    <d v="1899-12-30T10:30:00"/>
    <s v="C309"/>
    <x v="1"/>
    <x v="6"/>
    <x v="5"/>
    <x v="0"/>
    <n v="2"/>
    <n v="31"/>
    <n v="62"/>
    <x v="0"/>
    <n v="52"/>
    <s v="Upi"/>
    <n v="57"/>
    <s v="Late"/>
    <n v="5"/>
  </r>
  <r>
    <x v="309"/>
    <x v="14"/>
    <x v="0"/>
    <x v="0"/>
    <d v="1899-12-30T09:05:00"/>
    <s v="C310"/>
    <x v="5"/>
    <x v="0"/>
    <x v="3"/>
    <x v="2"/>
    <n v="2"/>
    <n v="14"/>
    <n v="28"/>
    <x v="0"/>
    <n v="18"/>
    <s v="Upi"/>
    <n v="28"/>
    <s v="Delivered"/>
    <m/>
  </r>
  <r>
    <x v="310"/>
    <x v="14"/>
    <x v="0"/>
    <x v="0"/>
    <d v="1899-12-30T09:05:00"/>
    <s v="C311"/>
    <x v="0"/>
    <x v="1"/>
    <x v="5"/>
    <x v="0"/>
    <n v="2"/>
    <n v="100"/>
    <n v="200"/>
    <x v="1"/>
    <n v="200"/>
    <s v="Cod"/>
    <n v="20"/>
    <s v="Delivered"/>
    <n v="4"/>
  </r>
  <r>
    <x v="311"/>
    <x v="20"/>
    <x v="3"/>
    <x v="0"/>
    <d v="1899-12-30T09:05:00"/>
    <s v="C312"/>
    <x v="5"/>
    <x v="0"/>
    <x v="1"/>
    <x v="1"/>
    <n v="4"/>
    <n v="45"/>
    <n v="180"/>
    <x v="1"/>
    <n v="180"/>
    <s v="Upi"/>
    <n v="10"/>
    <s v="Late"/>
    <n v="5"/>
  </r>
  <r>
    <x v="312"/>
    <x v="10"/>
    <x v="5"/>
    <x v="0"/>
    <d v="1899-12-30T10:30:00"/>
    <s v="C313"/>
    <x v="0"/>
    <x v="6"/>
    <x v="5"/>
    <x v="0"/>
    <n v="4"/>
    <n v="82"/>
    <n v="328"/>
    <x v="1"/>
    <n v="328"/>
    <s v="Upi"/>
    <n v="26"/>
    <s v="Delivered"/>
    <n v="2"/>
  </r>
  <r>
    <x v="313"/>
    <x v="11"/>
    <x v="6"/>
    <x v="0"/>
    <d v="1899-12-30T09:05:00"/>
    <s v="C314"/>
    <x v="1"/>
    <x v="7"/>
    <x v="6"/>
    <x v="3"/>
    <n v="6"/>
    <n v="59"/>
    <n v="354"/>
    <x v="1"/>
    <n v="354"/>
    <s v="Cod"/>
    <n v="38"/>
    <s v="Delivered"/>
    <m/>
  </r>
  <r>
    <x v="314"/>
    <x v="4"/>
    <x v="2"/>
    <x v="1"/>
    <d v="1899-12-30T18:45:00"/>
    <s v="C315"/>
    <x v="4"/>
    <x v="4"/>
    <x v="2"/>
    <x v="0"/>
    <n v="6"/>
    <n v="26"/>
    <n v="156"/>
    <x v="1"/>
    <n v="156"/>
    <s v="Cod"/>
    <n v="20"/>
    <s v="Late"/>
    <n v="3"/>
  </r>
  <r>
    <x v="315"/>
    <x v="1"/>
    <x v="1"/>
    <x v="0"/>
    <d v="1899-12-30T18:15:00"/>
    <s v="C316"/>
    <x v="3"/>
    <x v="5"/>
    <x v="6"/>
    <x v="3"/>
    <n v="6"/>
    <n v="94"/>
    <n v="574"/>
    <x v="0"/>
    <n v="554"/>
    <s v="Card"/>
    <n v="55"/>
    <s v="Delivered"/>
    <n v="1"/>
  </r>
  <r>
    <x v="316"/>
    <x v="5"/>
    <x v="1"/>
    <x v="0"/>
    <d v="1899-12-30T09:05:00"/>
    <s v="C317"/>
    <x v="4"/>
    <x v="2"/>
    <x v="0"/>
    <x v="0"/>
    <n v="1"/>
    <n v="72"/>
    <n v="72"/>
    <x v="1"/>
    <n v="72"/>
    <s v="Wallet"/>
    <n v="31"/>
    <s v="Delivered"/>
    <n v="5"/>
  </r>
  <r>
    <x v="317"/>
    <x v="3"/>
    <x v="2"/>
    <x v="1"/>
    <d v="1899-12-30T18:15:00"/>
    <s v="C318"/>
    <x v="3"/>
    <x v="3"/>
    <x v="5"/>
    <x v="0"/>
    <n v="6"/>
    <n v="39"/>
    <n v="234"/>
    <x v="0"/>
    <n v="224"/>
    <s v="Upi"/>
    <n v="37"/>
    <s v="Late"/>
    <n v="3"/>
  </r>
  <r>
    <x v="318"/>
    <x v="18"/>
    <x v="6"/>
    <x v="0"/>
    <d v="1899-12-30T10:30:00"/>
    <s v="C319"/>
    <x v="3"/>
    <x v="4"/>
    <x v="7"/>
    <x v="4"/>
    <n v="3"/>
    <n v="102"/>
    <n v="306"/>
    <x v="2"/>
    <n v="301"/>
    <s v="Upi"/>
    <n v="21"/>
    <s v="Delivered"/>
    <n v="5"/>
  </r>
  <r>
    <x v="319"/>
    <x v="6"/>
    <x v="0"/>
    <x v="0"/>
    <d v="1899-12-30T10:30:00"/>
    <s v="C320"/>
    <x v="3"/>
    <x v="2"/>
    <x v="8"/>
    <x v="5"/>
    <n v="4"/>
    <n v="79"/>
    <n v="316"/>
    <x v="1"/>
    <n v="316"/>
    <s v="Card"/>
    <n v="55"/>
    <s v="Delivered"/>
    <m/>
  </r>
  <r>
    <x v="320"/>
    <x v="10"/>
    <x v="5"/>
    <x v="0"/>
    <d v="1899-12-30T18:45:00"/>
    <s v="C321"/>
    <x v="0"/>
    <x v="0"/>
    <x v="3"/>
    <x v="2"/>
    <n v="3"/>
    <n v="45"/>
    <n v="135"/>
    <x v="2"/>
    <n v="130"/>
    <s v="Upi"/>
    <n v="23"/>
    <s v="Late"/>
    <n v="3"/>
  </r>
  <r>
    <x v="321"/>
    <x v="9"/>
    <x v="4"/>
    <x v="1"/>
    <d v="1899-12-30T09:05:00"/>
    <s v="C322"/>
    <x v="2"/>
    <x v="7"/>
    <x v="8"/>
    <x v="5"/>
    <n v="3"/>
    <n v="35"/>
    <n v="105"/>
    <x v="2"/>
    <n v="100"/>
    <s v="Card"/>
    <n v="49"/>
    <s v="Delivered"/>
    <n v="4"/>
  </r>
  <r>
    <x v="322"/>
    <x v="6"/>
    <x v="0"/>
    <x v="0"/>
    <d v="1899-12-30T10:30:00"/>
    <s v="C323"/>
    <x v="1"/>
    <x v="5"/>
    <x v="7"/>
    <x v="4"/>
    <n v="1"/>
    <n v="55"/>
    <n v="65"/>
    <x v="1"/>
    <n v="55"/>
    <s v="Upi"/>
    <n v="50"/>
    <s v="Delivered"/>
    <m/>
  </r>
  <r>
    <x v="323"/>
    <x v="4"/>
    <x v="2"/>
    <x v="1"/>
    <d v="1899-12-30T09:05:00"/>
    <s v="C324"/>
    <x v="6"/>
    <x v="5"/>
    <x v="8"/>
    <x v="5"/>
    <n v="1"/>
    <n v="107"/>
    <n v="107"/>
    <x v="2"/>
    <n v="102"/>
    <s v="Cod"/>
    <n v="50"/>
    <s v="Delivered"/>
    <m/>
  </r>
  <r>
    <x v="324"/>
    <x v="20"/>
    <x v="3"/>
    <x v="0"/>
    <d v="1899-12-30T18:45:00"/>
    <s v="C325"/>
    <x v="1"/>
    <x v="4"/>
    <x v="8"/>
    <x v="5"/>
    <n v="1"/>
    <n v="33"/>
    <n v="33"/>
    <x v="1"/>
    <n v="33"/>
    <s v="Card"/>
    <n v="23"/>
    <s v="Delivered"/>
    <n v="4"/>
  </r>
  <r>
    <x v="325"/>
    <x v="14"/>
    <x v="0"/>
    <x v="0"/>
    <d v="1899-12-30T18:15:00"/>
    <s v="C326"/>
    <x v="0"/>
    <x v="5"/>
    <x v="6"/>
    <x v="3"/>
    <n v="6"/>
    <n v="36"/>
    <n v="216"/>
    <x v="2"/>
    <n v="211"/>
    <s v="Upi"/>
    <n v="11"/>
    <s v="Delivered"/>
    <n v="4"/>
  </r>
  <r>
    <x v="326"/>
    <x v="18"/>
    <x v="6"/>
    <x v="0"/>
    <d v="1899-12-30T10:30:00"/>
    <s v="C327"/>
    <x v="0"/>
    <x v="3"/>
    <x v="3"/>
    <x v="2"/>
    <n v="3"/>
    <n v="102"/>
    <n v="306"/>
    <x v="0"/>
    <n v="296"/>
    <s v="Wallet"/>
    <n v="26"/>
    <s v="Delivered"/>
    <n v="4"/>
  </r>
  <r>
    <x v="327"/>
    <x v="19"/>
    <x v="2"/>
    <x v="1"/>
    <d v="1899-12-30T18:45:00"/>
    <s v="C328"/>
    <x v="4"/>
    <x v="3"/>
    <x v="6"/>
    <x v="3"/>
    <n v="3"/>
    <n v="104"/>
    <n v="312"/>
    <x v="0"/>
    <n v="302"/>
    <s v="Upi"/>
    <n v="30"/>
    <s v="Late"/>
    <n v="1"/>
  </r>
  <r>
    <x v="328"/>
    <x v="9"/>
    <x v="4"/>
    <x v="1"/>
    <d v="1899-12-30T10:30:00"/>
    <s v="C329"/>
    <x v="1"/>
    <x v="4"/>
    <x v="4"/>
    <x v="1"/>
    <n v="3"/>
    <n v="104"/>
    <n v="312"/>
    <x v="1"/>
    <n v="312"/>
    <s v="Upi"/>
    <n v="24"/>
    <s v="Delivered"/>
    <n v="3"/>
  </r>
  <r>
    <x v="329"/>
    <x v="6"/>
    <x v="0"/>
    <x v="0"/>
    <d v="1899-12-30T18:45:00"/>
    <s v="C330"/>
    <x v="0"/>
    <x v="4"/>
    <x v="1"/>
    <x v="1"/>
    <n v="6"/>
    <n v="115"/>
    <n v="690"/>
    <x v="1"/>
    <n v="690"/>
    <s v="Wallet"/>
    <n v="37"/>
    <s v="Delivered"/>
    <n v="3"/>
  </r>
  <r>
    <x v="330"/>
    <x v="12"/>
    <x v="6"/>
    <x v="0"/>
    <d v="1899-12-30T18:45:00"/>
    <s v="C331"/>
    <x v="1"/>
    <x v="5"/>
    <x v="6"/>
    <x v="3"/>
    <n v="5"/>
    <n v="68"/>
    <n v="340"/>
    <x v="0"/>
    <n v="330"/>
    <s v="Upi"/>
    <n v="31"/>
    <s v="Delivered"/>
    <n v="5"/>
  </r>
  <r>
    <x v="331"/>
    <x v="4"/>
    <x v="2"/>
    <x v="1"/>
    <d v="1899-12-30T18:15:00"/>
    <s v="C332"/>
    <x v="4"/>
    <x v="7"/>
    <x v="5"/>
    <x v="0"/>
    <n v="5"/>
    <n v="15"/>
    <n v="75"/>
    <x v="0"/>
    <n v="65"/>
    <s v="Upi"/>
    <n v="18"/>
    <s v="Delivered"/>
    <m/>
  </r>
  <r>
    <x v="332"/>
    <x v="12"/>
    <x v="6"/>
    <x v="0"/>
    <d v="1899-12-30T18:15:00"/>
    <s v="C333"/>
    <x v="6"/>
    <x v="3"/>
    <x v="0"/>
    <x v="0"/>
    <n v="3"/>
    <n v="19"/>
    <n v="57"/>
    <x v="1"/>
    <n v="57"/>
    <s v="Upi"/>
    <n v="48"/>
    <s v="Delivered"/>
    <n v="4"/>
  </r>
  <r>
    <x v="333"/>
    <x v="7"/>
    <x v="3"/>
    <x v="0"/>
    <d v="1899-12-30T18:45:00"/>
    <s v="C334"/>
    <x v="5"/>
    <x v="6"/>
    <x v="3"/>
    <x v="2"/>
    <n v="4"/>
    <n v="84"/>
    <n v="336"/>
    <x v="2"/>
    <n v="331"/>
    <s v="Wallet"/>
    <n v="30"/>
    <s v="Late"/>
    <n v="4"/>
  </r>
  <r>
    <x v="334"/>
    <x v="4"/>
    <x v="2"/>
    <x v="1"/>
    <d v="1899-12-30T09:05:00"/>
    <s v="C335"/>
    <x v="3"/>
    <x v="6"/>
    <x v="4"/>
    <x v="1"/>
    <n v="2"/>
    <n v="119"/>
    <n v="238"/>
    <x v="0"/>
    <n v="228"/>
    <s v="Card"/>
    <n v="59"/>
    <s v="Delivered"/>
    <n v="5"/>
  </r>
  <r>
    <x v="335"/>
    <x v="13"/>
    <x v="5"/>
    <x v="0"/>
    <d v="1899-12-30T10:30:00"/>
    <s v="C336"/>
    <x v="1"/>
    <x v="4"/>
    <x v="4"/>
    <x v="1"/>
    <n v="4"/>
    <n v="111"/>
    <n v="444"/>
    <x v="2"/>
    <n v="439"/>
    <s v="Upi"/>
    <n v="57"/>
    <s v="Delivered"/>
    <m/>
  </r>
  <r>
    <x v="336"/>
    <x v="19"/>
    <x v="2"/>
    <x v="1"/>
    <d v="1899-12-30T18:15:00"/>
    <s v="C337"/>
    <x v="6"/>
    <x v="3"/>
    <x v="3"/>
    <x v="2"/>
    <n v="5"/>
    <n v="48"/>
    <n v="240"/>
    <x v="1"/>
    <n v="240"/>
    <s v="Upi"/>
    <n v="55"/>
    <s v="Late"/>
    <n v="5"/>
  </r>
  <r>
    <x v="337"/>
    <x v="12"/>
    <x v="6"/>
    <x v="0"/>
    <d v="1899-12-30T09:05:00"/>
    <s v="C338"/>
    <x v="1"/>
    <x v="6"/>
    <x v="3"/>
    <x v="2"/>
    <n v="5"/>
    <n v="24"/>
    <n v="120"/>
    <x v="0"/>
    <n v="110"/>
    <s v="Wallet"/>
    <n v="52"/>
    <s v="Delivered"/>
    <n v="3"/>
  </r>
  <r>
    <x v="338"/>
    <x v="18"/>
    <x v="6"/>
    <x v="0"/>
    <d v="1899-12-30T09:05:00"/>
    <s v="C339"/>
    <x v="3"/>
    <x v="6"/>
    <x v="5"/>
    <x v="0"/>
    <n v="6"/>
    <n v="20"/>
    <n v="120"/>
    <x v="2"/>
    <n v="115"/>
    <s v="Upi"/>
    <n v="40"/>
    <s v="Late"/>
    <n v="1"/>
  </r>
  <r>
    <x v="339"/>
    <x v="20"/>
    <x v="3"/>
    <x v="0"/>
    <d v="1899-12-30T18:15:00"/>
    <s v="C340"/>
    <x v="4"/>
    <x v="2"/>
    <x v="5"/>
    <x v="0"/>
    <n v="6"/>
    <n v="103"/>
    <n v="618"/>
    <x v="0"/>
    <n v="608"/>
    <s v="Cod"/>
    <n v="44"/>
    <s v="Late"/>
    <n v="1"/>
  </r>
  <r>
    <x v="340"/>
    <x v="15"/>
    <x v="5"/>
    <x v="0"/>
    <d v="1899-12-30T18:45:00"/>
    <s v="C341"/>
    <x v="1"/>
    <x v="6"/>
    <x v="1"/>
    <x v="1"/>
    <n v="5"/>
    <n v="89"/>
    <n v="445"/>
    <x v="0"/>
    <n v="435"/>
    <s v="Upi"/>
    <n v="29"/>
    <s v="Delivered"/>
    <m/>
  </r>
  <r>
    <x v="341"/>
    <x v="3"/>
    <x v="2"/>
    <x v="1"/>
    <d v="1899-12-30T18:15:00"/>
    <s v="C342"/>
    <x v="6"/>
    <x v="3"/>
    <x v="6"/>
    <x v="3"/>
    <n v="3"/>
    <n v="44"/>
    <n v="132"/>
    <x v="0"/>
    <n v="122"/>
    <s v="Wallet"/>
    <n v="37"/>
    <s v="Delivered"/>
    <n v="3"/>
  </r>
  <r>
    <x v="342"/>
    <x v="20"/>
    <x v="3"/>
    <x v="0"/>
    <d v="1899-12-30T18:15:00"/>
    <s v="C343"/>
    <x v="5"/>
    <x v="1"/>
    <x v="7"/>
    <x v="4"/>
    <n v="1"/>
    <n v="21"/>
    <n v="21"/>
    <x v="1"/>
    <n v="21"/>
    <s v="Card"/>
    <n v="11"/>
    <s v="Delivered"/>
    <n v="1"/>
  </r>
  <r>
    <x v="343"/>
    <x v="13"/>
    <x v="5"/>
    <x v="0"/>
    <d v="1899-12-30T18:45:00"/>
    <s v="C344"/>
    <x v="2"/>
    <x v="0"/>
    <x v="4"/>
    <x v="1"/>
    <n v="5"/>
    <n v="56"/>
    <n v="280"/>
    <x v="2"/>
    <n v="275"/>
    <s v="Wallet"/>
    <n v="34"/>
    <s v="Late"/>
    <n v="3"/>
  </r>
  <r>
    <x v="344"/>
    <x v="0"/>
    <x v="0"/>
    <x v="0"/>
    <d v="1899-12-30T18:45:00"/>
    <s v="C345"/>
    <x v="1"/>
    <x v="7"/>
    <x v="3"/>
    <x v="2"/>
    <n v="6"/>
    <n v="43"/>
    <n v="258"/>
    <x v="1"/>
    <n v="258"/>
    <s v="Wallet"/>
    <n v="33"/>
    <s v="Late"/>
    <n v="2"/>
  </r>
  <r>
    <x v="345"/>
    <x v="1"/>
    <x v="1"/>
    <x v="0"/>
    <d v="1899-12-30T18:15:00"/>
    <s v="C346"/>
    <x v="6"/>
    <x v="6"/>
    <x v="7"/>
    <x v="4"/>
    <n v="3"/>
    <n v="80"/>
    <n v="240"/>
    <x v="2"/>
    <n v="235"/>
    <s v="Card"/>
    <n v="34"/>
    <s v="Delivered"/>
    <m/>
  </r>
  <r>
    <x v="346"/>
    <x v="19"/>
    <x v="2"/>
    <x v="1"/>
    <d v="1899-12-30T09:05:00"/>
    <s v="C347"/>
    <x v="0"/>
    <x v="3"/>
    <x v="2"/>
    <x v="0"/>
    <n v="2"/>
    <n v="117"/>
    <n v="234"/>
    <x v="1"/>
    <n v="234"/>
    <s v="Wallet"/>
    <n v="10"/>
    <s v="Late"/>
    <n v="5"/>
  </r>
  <r>
    <x v="347"/>
    <x v="9"/>
    <x v="4"/>
    <x v="1"/>
    <d v="1899-12-30T18:45:00"/>
    <s v="C348"/>
    <x v="6"/>
    <x v="7"/>
    <x v="4"/>
    <x v="1"/>
    <n v="3"/>
    <n v="58"/>
    <n v="174"/>
    <x v="1"/>
    <n v="174"/>
    <s v="Wallet"/>
    <n v="35"/>
    <s v="Delivered"/>
    <n v="2"/>
  </r>
  <r>
    <x v="348"/>
    <x v="15"/>
    <x v="5"/>
    <x v="0"/>
    <d v="1899-12-30T18:15:00"/>
    <s v="C349"/>
    <x v="3"/>
    <x v="2"/>
    <x v="1"/>
    <x v="1"/>
    <n v="3"/>
    <n v="89"/>
    <n v="267"/>
    <x v="2"/>
    <n v="262"/>
    <s v="Card"/>
    <n v="55"/>
    <s v="Delivered"/>
    <n v="5"/>
  </r>
  <r>
    <x v="349"/>
    <x v="5"/>
    <x v="1"/>
    <x v="0"/>
    <d v="1899-12-30T18:15:00"/>
    <s v="C350"/>
    <x v="0"/>
    <x v="5"/>
    <x v="3"/>
    <x v="2"/>
    <n v="4"/>
    <n v="113"/>
    <n v="452"/>
    <x v="0"/>
    <n v="442"/>
    <s v="Upi"/>
    <n v="51"/>
    <s v="Late"/>
    <n v="4"/>
  </r>
  <r>
    <x v="350"/>
    <x v="5"/>
    <x v="1"/>
    <x v="0"/>
    <d v="1899-12-30T10:30:00"/>
    <s v="C351"/>
    <x v="1"/>
    <x v="0"/>
    <x v="0"/>
    <x v="0"/>
    <n v="2"/>
    <n v="107"/>
    <n v="224"/>
    <x v="2"/>
    <n v="209"/>
    <s v="Card"/>
    <n v="44"/>
    <s v="Delivered"/>
    <n v="2"/>
  </r>
  <r>
    <x v="351"/>
    <x v="2"/>
    <x v="2"/>
    <x v="1"/>
    <d v="1899-12-30T09:05:00"/>
    <s v="C352"/>
    <x v="3"/>
    <x v="6"/>
    <x v="1"/>
    <x v="1"/>
    <n v="1"/>
    <n v="86"/>
    <n v="86"/>
    <x v="1"/>
    <n v="86"/>
    <s v="Card"/>
    <n v="14"/>
    <s v="Delivered"/>
    <n v="4"/>
  </r>
  <r>
    <x v="352"/>
    <x v="4"/>
    <x v="2"/>
    <x v="1"/>
    <d v="1899-12-30T18:45:00"/>
    <s v="C353"/>
    <x v="6"/>
    <x v="6"/>
    <x v="5"/>
    <x v="0"/>
    <n v="5"/>
    <n v="37"/>
    <n v="185"/>
    <x v="1"/>
    <n v="185"/>
    <s v="Upi"/>
    <n v="21"/>
    <s v="Late"/>
    <n v="2"/>
  </r>
  <r>
    <x v="353"/>
    <x v="9"/>
    <x v="4"/>
    <x v="1"/>
    <d v="1899-12-30T10:30:00"/>
    <s v="C354"/>
    <x v="0"/>
    <x v="2"/>
    <x v="3"/>
    <x v="2"/>
    <n v="2"/>
    <n v="28"/>
    <n v="56"/>
    <x v="1"/>
    <n v="56"/>
    <s v="Card"/>
    <n v="47"/>
    <s v="Delivered"/>
    <n v="2"/>
  </r>
  <r>
    <x v="354"/>
    <x v="17"/>
    <x v="2"/>
    <x v="1"/>
    <d v="1899-12-30T10:30:00"/>
    <s v="C355"/>
    <x v="5"/>
    <x v="2"/>
    <x v="4"/>
    <x v="1"/>
    <n v="6"/>
    <n v="35"/>
    <n v="210"/>
    <x v="2"/>
    <n v="205"/>
    <s v="Upi"/>
    <n v="21"/>
    <s v="Late"/>
    <m/>
  </r>
  <r>
    <x v="355"/>
    <x v="6"/>
    <x v="0"/>
    <x v="0"/>
    <d v="1899-12-30T10:30:00"/>
    <s v="C356"/>
    <x v="6"/>
    <x v="0"/>
    <x v="3"/>
    <x v="2"/>
    <n v="6"/>
    <n v="14"/>
    <n v="84"/>
    <x v="1"/>
    <n v="84"/>
    <s v="Wallet"/>
    <n v="39"/>
    <s v="Delivered"/>
    <m/>
  </r>
  <r>
    <x v="356"/>
    <x v="13"/>
    <x v="5"/>
    <x v="0"/>
    <d v="1899-12-30T10:30:00"/>
    <s v="C357"/>
    <x v="0"/>
    <x v="6"/>
    <x v="8"/>
    <x v="5"/>
    <n v="2"/>
    <n v="120"/>
    <n v="240"/>
    <x v="0"/>
    <n v="230"/>
    <s v="Upi"/>
    <n v="27"/>
    <s v="Delivered"/>
    <m/>
  </r>
  <r>
    <x v="357"/>
    <x v="4"/>
    <x v="2"/>
    <x v="1"/>
    <d v="1899-12-30T09:05:00"/>
    <s v="C358"/>
    <x v="2"/>
    <x v="1"/>
    <x v="7"/>
    <x v="4"/>
    <n v="1"/>
    <n v="58"/>
    <n v="58"/>
    <x v="1"/>
    <n v="58"/>
    <s v="Wallet"/>
    <n v="50"/>
    <s v="Late"/>
    <n v="1"/>
  </r>
  <r>
    <x v="358"/>
    <x v="4"/>
    <x v="2"/>
    <x v="1"/>
    <d v="1899-12-30T10:30:00"/>
    <s v="C359"/>
    <x v="5"/>
    <x v="2"/>
    <x v="5"/>
    <x v="0"/>
    <n v="2"/>
    <n v="103"/>
    <n v="206"/>
    <x v="0"/>
    <n v="196"/>
    <s v="Card"/>
    <n v="44"/>
    <s v="Late"/>
    <n v="4"/>
  </r>
  <r>
    <x v="359"/>
    <x v="1"/>
    <x v="1"/>
    <x v="0"/>
    <d v="1899-12-30T10:30:00"/>
    <s v="C360"/>
    <x v="0"/>
    <x v="7"/>
    <x v="4"/>
    <x v="1"/>
    <n v="4"/>
    <n v="101"/>
    <n v="404"/>
    <x v="1"/>
    <n v="404"/>
    <s v="Cod"/>
    <n v="39"/>
    <s v="Late"/>
    <n v="4"/>
  </r>
  <r>
    <x v="360"/>
    <x v="3"/>
    <x v="2"/>
    <x v="1"/>
    <d v="1899-12-30T10:30:00"/>
    <s v="C361"/>
    <x v="1"/>
    <x v="1"/>
    <x v="0"/>
    <x v="0"/>
    <n v="6"/>
    <n v="107"/>
    <n v="642"/>
    <x v="1"/>
    <n v="642"/>
    <s v="Wallet"/>
    <n v="20"/>
    <s v="Delivered"/>
    <n v="5"/>
  </r>
  <r>
    <x v="361"/>
    <x v="10"/>
    <x v="5"/>
    <x v="0"/>
    <d v="1899-12-30T18:15:00"/>
    <s v="C362"/>
    <x v="1"/>
    <x v="5"/>
    <x v="4"/>
    <x v="1"/>
    <n v="6"/>
    <n v="81"/>
    <n v="486"/>
    <x v="0"/>
    <n v="476"/>
    <s v="Cod"/>
    <n v="53"/>
    <s v="Delivered"/>
    <m/>
  </r>
  <r>
    <x v="362"/>
    <x v="4"/>
    <x v="2"/>
    <x v="1"/>
    <d v="1899-12-30T09:05:00"/>
    <s v="C363"/>
    <x v="6"/>
    <x v="7"/>
    <x v="7"/>
    <x v="4"/>
    <n v="5"/>
    <n v="119"/>
    <n v="595"/>
    <x v="1"/>
    <n v="595"/>
    <s v="Card"/>
    <n v="28"/>
    <s v="Late"/>
    <n v="1"/>
  </r>
  <r>
    <x v="363"/>
    <x v="14"/>
    <x v="0"/>
    <x v="0"/>
    <d v="1899-12-30T10:30:00"/>
    <s v="C364"/>
    <x v="0"/>
    <x v="0"/>
    <x v="3"/>
    <x v="2"/>
    <n v="1"/>
    <n v="118"/>
    <n v="118"/>
    <x v="1"/>
    <n v="118"/>
    <s v="Cod"/>
    <n v="19"/>
    <s v="Late"/>
    <n v="2"/>
  </r>
  <r>
    <x v="364"/>
    <x v="14"/>
    <x v="0"/>
    <x v="0"/>
    <d v="1899-12-30T18:45:00"/>
    <s v="C365"/>
    <x v="4"/>
    <x v="0"/>
    <x v="3"/>
    <x v="2"/>
    <n v="5"/>
    <n v="40"/>
    <n v="200"/>
    <x v="1"/>
    <n v="200"/>
    <s v="Card"/>
    <n v="48"/>
    <s v="Late"/>
    <m/>
  </r>
  <r>
    <x v="365"/>
    <x v="2"/>
    <x v="2"/>
    <x v="1"/>
    <d v="1899-12-30T09:05:00"/>
    <s v="C366"/>
    <x v="6"/>
    <x v="7"/>
    <x v="6"/>
    <x v="3"/>
    <n v="5"/>
    <n v="13"/>
    <n v="65"/>
    <x v="2"/>
    <n v="60"/>
    <s v="Upi"/>
    <n v="58"/>
    <s v="Late"/>
    <n v="5"/>
  </r>
  <r>
    <x v="366"/>
    <x v="2"/>
    <x v="2"/>
    <x v="1"/>
    <d v="1899-12-30T18:15:00"/>
    <s v="C367"/>
    <x v="2"/>
    <x v="1"/>
    <x v="5"/>
    <x v="0"/>
    <n v="5"/>
    <n v="88"/>
    <n v="440"/>
    <x v="1"/>
    <n v="440"/>
    <s v="Wallet"/>
    <n v="26"/>
    <s v="Delivered"/>
    <n v="5"/>
  </r>
  <r>
    <x v="367"/>
    <x v="9"/>
    <x v="4"/>
    <x v="1"/>
    <d v="1899-12-30T09:05:00"/>
    <s v="C368"/>
    <x v="3"/>
    <x v="6"/>
    <x v="4"/>
    <x v="1"/>
    <n v="1"/>
    <n v="58"/>
    <n v="58"/>
    <x v="0"/>
    <n v="48"/>
    <s v="Upi"/>
    <n v="24"/>
    <s v="Late"/>
    <n v="1"/>
  </r>
  <r>
    <x v="368"/>
    <x v="14"/>
    <x v="0"/>
    <x v="0"/>
    <d v="1899-12-30T18:15:00"/>
    <s v="C369"/>
    <x v="1"/>
    <x v="3"/>
    <x v="3"/>
    <x v="2"/>
    <n v="3"/>
    <n v="97"/>
    <n v="291"/>
    <x v="0"/>
    <n v="281"/>
    <s v="Card"/>
    <n v="28"/>
    <s v="Late"/>
    <n v="3"/>
  </r>
  <r>
    <x v="369"/>
    <x v="3"/>
    <x v="2"/>
    <x v="1"/>
    <d v="1899-12-30T18:15:00"/>
    <s v="C370"/>
    <x v="5"/>
    <x v="3"/>
    <x v="7"/>
    <x v="4"/>
    <n v="4"/>
    <n v="89"/>
    <n v="356"/>
    <x v="2"/>
    <n v="351"/>
    <s v="Cod"/>
    <n v="13"/>
    <s v="Delivered"/>
    <n v="1"/>
  </r>
  <r>
    <x v="370"/>
    <x v="8"/>
    <x v="3"/>
    <x v="0"/>
    <d v="1899-12-30T10:30:00"/>
    <s v="C371"/>
    <x v="0"/>
    <x v="5"/>
    <x v="2"/>
    <x v="0"/>
    <n v="4"/>
    <n v="49"/>
    <n v="196"/>
    <x v="1"/>
    <n v="196"/>
    <s v="Upi"/>
    <n v="49"/>
    <s v="Delivered"/>
    <n v="5"/>
  </r>
  <r>
    <x v="371"/>
    <x v="5"/>
    <x v="1"/>
    <x v="0"/>
    <d v="1899-12-30T18:15:00"/>
    <s v="C372"/>
    <x v="1"/>
    <x v="2"/>
    <x v="8"/>
    <x v="5"/>
    <n v="1"/>
    <n v="111"/>
    <n v="111"/>
    <x v="2"/>
    <n v="106"/>
    <s v="Upi"/>
    <n v="12"/>
    <s v="Late"/>
    <n v="4"/>
  </r>
  <r>
    <x v="372"/>
    <x v="7"/>
    <x v="3"/>
    <x v="0"/>
    <d v="1899-12-30T18:45:00"/>
    <s v="C373"/>
    <x v="1"/>
    <x v="4"/>
    <x v="1"/>
    <x v="1"/>
    <n v="3"/>
    <n v="77"/>
    <n v="231"/>
    <x v="1"/>
    <n v="231"/>
    <s v="Cod"/>
    <n v="43"/>
    <s v="Delivered"/>
    <n v="3"/>
  </r>
  <r>
    <x v="373"/>
    <x v="13"/>
    <x v="5"/>
    <x v="0"/>
    <d v="1899-12-30T18:45:00"/>
    <s v="C374"/>
    <x v="4"/>
    <x v="1"/>
    <x v="2"/>
    <x v="0"/>
    <n v="1"/>
    <n v="33"/>
    <n v="43"/>
    <x v="2"/>
    <n v="28"/>
    <s v="Upi"/>
    <n v="50"/>
    <s v="Delivered"/>
    <n v="5"/>
  </r>
  <r>
    <x v="374"/>
    <x v="6"/>
    <x v="0"/>
    <x v="0"/>
    <d v="1899-12-30T18:15:00"/>
    <s v="C375"/>
    <x v="1"/>
    <x v="2"/>
    <x v="3"/>
    <x v="2"/>
    <n v="3"/>
    <n v="71"/>
    <n v="213"/>
    <x v="1"/>
    <n v="213"/>
    <s v="Upi"/>
    <n v="25"/>
    <s v="Late"/>
    <m/>
  </r>
  <r>
    <x v="375"/>
    <x v="11"/>
    <x v="6"/>
    <x v="0"/>
    <d v="1899-12-30T10:30:00"/>
    <s v="C376"/>
    <x v="0"/>
    <x v="1"/>
    <x v="1"/>
    <x v="1"/>
    <n v="1"/>
    <n v="92"/>
    <n v="92"/>
    <x v="0"/>
    <n v="82"/>
    <s v="Wallet"/>
    <n v="41"/>
    <s v="Late"/>
    <m/>
  </r>
  <r>
    <x v="376"/>
    <x v="10"/>
    <x v="5"/>
    <x v="0"/>
    <d v="1899-12-30T09:05:00"/>
    <s v="C377"/>
    <x v="4"/>
    <x v="0"/>
    <x v="1"/>
    <x v="1"/>
    <n v="6"/>
    <n v="54"/>
    <n v="324"/>
    <x v="0"/>
    <n v="314"/>
    <s v="Wallet"/>
    <n v="36"/>
    <s v="Delivered"/>
    <n v="2"/>
  </r>
  <r>
    <x v="377"/>
    <x v="9"/>
    <x v="4"/>
    <x v="1"/>
    <d v="1899-12-30T18:45:00"/>
    <s v="C378"/>
    <x v="0"/>
    <x v="7"/>
    <x v="7"/>
    <x v="4"/>
    <n v="6"/>
    <n v="98"/>
    <n v="588"/>
    <x v="1"/>
    <n v="588"/>
    <s v="Wallet"/>
    <n v="20"/>
    <s v="Delivered"/>
    <n v="4"/>
  </r>
  <r>
    <x v="378"/>
    <x v="1"/>
    <x v="1"/>
    <x v="0"/>
    <d v="1899-12-30T09:05:00"/>
    <s v="C379"/>
    <x v="0"/>
    <x v="1"/>
    <x v="1"/>
    <x v="1"/>
    <n v="6"/>
    <n v="15"/>
    <n v="90"/>
    <x v="2"/>
    <n v="85"/>
    <s v="Cod"/>
    <n v="50"/>
    <s v="Delivered"/>
    <n v="1"/>
  </r>
  <r>
    <x v="379"/>
    <x v="15"/>
    <x v="5"/>
    <x v="0"/>
    <d v="1899-12-30T18:45:00"/>
    <s v="C380"/>
    <x v="5"/>
    <x v="3"/>
    <x v="3"/>
    <x v="2"/>
    <n v="4"/>
    <n v="32"/>
    <n v="128"/>
    <x v="1"/>
    <n v="128"/>
    <s v="Cod"/>
    <n v="40"/>
    <s v="Late"/>
    <n v="2"/>
  </r>
  <r>
    <x v="380"/>
    <x v="13"/>
    <x v="5"/>
    <x v="0"/>
    <d v="1899-12-30T18:15:00"/>
    <s v="C381"/>
    <x v="2"/>
    <x v="0"/>
    <x v="2"/>
    <x v="0"/>
    <n v="4"/>
    <n v="115"/>
    <n v="460"/>
    <x v="1"/>
    <n v="460"/>
    <s v="Wallet"/>
    <n v="29"/>
    <s v="Late"/>
    <n v="2"/>
  </r>
  <r>
    <x v="381"/>
    <x v="10"/>
    <x v="5"/>
    <x v="0"/>
    <d v="1899-12-30T18:45:00"/>
    <s v="C382"/>
    <x v="6"/>
    <x v="5"/>
    <x v="8"/>
    <x v="5"/>
    <n v="1"/>
    <n v="47"/>
    <n v="47"/>
    <x v="1"/>
    <n v="47"/>
    <s v="Wallet"/>
    <n v="14"/>
    <s v="Late"/>
    <n v="2"/>
  </r>
  <r>
    <x v="382"/>
    <x v="1"/>
    <x v="1"/>
    <x v="0"/>
    <d v="1899-12-30T10:30:00"/>
    <s v="C383"/>
    <x v="0"/>
    <x v="6"/>
    <x v="8"/>
    <x v="5"/>
    <n v="1"/>
    <n v="28"/>
    <n v="28"/>
    <x v="0"/>
    <n v="18"/>
    <s v="Cod"/>
    <n v="52"/>
    <s v="Delivered"/>
    <n v="5"/>
  </r>
  <r>
    <x v="383"/>
    <x v="1"/>
    <x v="1"/>
    <x v="0"/>
    <d v="1899-12-30T18:15:00"/>
    <s v="C384"/>
    <x v="0"/>
    <x v="1"/>
    <x v="1"/>
    <x v="1"/>
    <n v="5"/>
    <n v="80"/>
    <n v="400"/>
    <x v="1"/>
    <n v="400"/>
    <s v="Upi"/>
    <n v="56"/>
    <s v="Delivered"/>
    <n v="2"/>
  </r>
  <r>
    <x v="384"/>
    <x v="20"/>
    <x v="3"/>
    <x v="0"/>
    <d v="1899-12-30T18:15:00"/>
    <s v="C385"/>
    <x v="2"/>
    <x v="2"/>
    <x v="2"/>
    <x v="0"/>
    <n v="4"/>
    <n v="89"/>
    <n v="356"/>
    <x v="1"/>
    <n v="356"/>
    <s v="Cod"/>
    <n v="20"/>
    <s v="Late"/>
    <n v="2"/>
  </r>
  <r>
    <x v="385"/>
    <x v="14"/>
    <x v="0"/>
    <x v="0"/>
    <d v="1899-12-30T18:45:00"/>
    <s v="C386"/>
    <x v="1"/>
    <x v="5"/>
    <x v="1"/>
    <x v="1"/>
    <n v="6"/>
    <n v="61"/>
    <n v="366"/>
    <x v="2"/>
    <n v="361"/>
    <s v="Cod"/>
    <n v="16"/>
    <s v="Late"/>
    <n v="4"/>
  </r>
  <r>
    <x v="386"/>
    <x v="12"/>
    <x v="6"/>
    <x v="0"/>
    <d v="1899-12-30T09:05:00"/>
    <s v="C387"/>
    <x v="2"/>
    <x v="6"/>
    <x v="8"/>
    <x v="5"/>
    <n v="3"/>
    <n v="16"/>
    <n v="58"/>
    <x v="0"/>
    <n v="38"/>
    <s v="Upi"/>
    <n v="45"/>
    <s v="Delivered"/>
    <m/>
  </r>
  <r>
    <x v="387"/>
    <x v="14"/>
    <x v="0"/>
    <x v="0"/>
    <d v="1899-12-30T18:45:00"/>
    <s v="C388"/>
    <x v="2"/>
    <x v="2"/>
    <x v="7"/>
    <x v="4"/>
    <n v="4"/>
    <n v="83"/>
    <n v="332"/>
    <x v="1"/>
    <n v="332"/>
    <s v="Cod"/>
    <n v="58"/>
    <s v="Delivered"/>
    <n v="2"/>
  </r>
  <r>
    <x v="388"/>
    <x v="9"/>
    <x v="4"/>
    <x v="1"/>
    <d v="1899-12-30T18:45:00"/>
    <s v="C389"/>
    <x v="5"/>
    <x v="0"/>
    <x v="4"/>
    <x v="1"/>
    <n v="4"/>
    <n v="57"/>
    <n v="228"/>
    <x v="1"/>
    <n v="228"/>
    <s v="Wallet"/>
    <n v="28"/>
    <s v="Late"/>
    <n v="2"/>
  </r>
  <r>
    <x v="389"/>
    <x v="4"/>
    <x v="2"/>
    <x v="1"/>
    <d v="1899-12-30T18:15:00"/>
    <s v="C390"/>
    <x v="2"/>
    <x v="6"/>
    <x v="6"/>
    <x v="3"/>
    <n v="3"/>
    <n v="57"/>
    <n v="171"/>
    <x v="0"/>
    <n v="161"/>
    <s v="Upi"/>
    <n v="29"/>
    <s v="Delivered"/>
    <n v="5"/>
  </r>
  <r>
    <x v="390"/>
    <x v="18"/>
    <x v="6"/>
    <x v="0"/>
    <d v="1899-12-30T10:30:00"/>
    <s v="C391"/>
    <x v="2"/>
    <x v="6"/>
    <x v="3"/>
    <x v="2"/>
    <n v="2"/>
    <n v="54"/>
    <n v="108"/>
    <x v="1"/>
    <n v="108"/>
    <s v="Card"/>
    <n v="21"/>
    <s v="Late"/>
    <n v="3"/>
  </r>
  <r>
    <x v="391"/>
    <x v="12"/>
    <x v="6"/>
    <x v="0"/>
    <d v="1899-12-30T18:45:00"/>
    <s v="C392"/>
    <x v="4"/>
    <x v="4"/>
    <x v="2"/>
    <x v="0"/>
    <n v="4"/>
    <n v="71"/>
    <n v="284"/>
    <x v="1"/>
    <n v="284"/>
    <s v="Upi"/>
    <n v="34"/>
    <s v="Delivered"/>
    <m/>
  </r>
  <r>
    <x v="392"/>
    <x v="5"/>
    <x v="1"/>
    <x v="0"/>
    <d v="1899-12-30T09:05:00"/>
    <s v="C393"/>
    <x v="1"/>
    <x v="3"/>
    <x v="3"/>
    <x v="2"/>
    <n v="1"/>
    <n v="111"/>
    <n v="111"/>
    <x v="2"/>
    <n v="106"/>
    <s v="Upi"/>
    <n v="18"/>
    <s v="Delivered"/>
    <m/>
  </r>
  <r>
    <x v="393"/>
    <x v="16"/>
    <x v="4"/>
    <x v="1"/>
    <d v="1899-12-30T18:15:00"/>
    <s v="C394"/>
    <x v="2"/>
    <x v="7"/>
    <x v="2"/>
    <x v="0"/>
    <n v="5"/>
    <n v="105"/>
    <n v="525"/>
    <x v="0"/>
    <n v="515"/>
    <s v="Upi"/>
    <n v="35"/>
    <s v="Delivered"/>
    <n v="5"/>
  </r>
  <r>
    <x v="394"/>
    <x v="10"/>
    <x v="5"/>
    <x v="0"/>
    <d v="1899-12-30T10:30:00"/>
    <s v="C395"/>
    <x v="5"/>
    <x v="0"/>
    <x v="5"/>
    <x v="0"/>
    <n v="3"/>
    <n v="35"/>
    <n v="105"/>
    <x v="0"/>
    <n v="95"/>
    <s v="Card"/>
    <n v="16"/>
    <s v="Late"/>
    <n v="1"/>
  </r>
  <r>
    <x v="395"/>
    <x v="2"/>
    <x v="2"/>
    <x v="1"/>
    <d v="1899-12-30T09:05:00"/>
    <s v="C396"/>
    <x v="1"/>
    <x v="2"/>
    <x v="5"/>
    <x v="0"/>
    <n v="5"/>
    <n v="106"/>
    <n v="530"/>
    <x v="1"/>
    <n v="530"/>
    <s v="Upi"/>
    <n v="59"/>
    <s v="Delivered"/>
    <n v="3"/>
  </r>
  <r>
    <x v="396"/>
    <x v="9"/>
    <x v="4"/>
    <x v="1"/>
    <d v="1899-12-30T18:15:00"/>
    <s v="C397"/>
    <x v="4"/>
    <x v="7"/>
    <x v="8"/>
    <x v="5"/>
    <n v="6"/>
    <n v="51"/>
    <n v="306"/>
    <x v="2"/>
    <n v="301"/>
    <s v="Upi"/>
    <n v="11"/>
    <s v="Delivered"/>
    <n v="4"/>
  </r>
  <r>
    <x v="397"/>
    <x v="11"/>
    <x v="6"/>
    <x v="0"/>
    <d v="1899-12-30T10:30:00"/>
    <s v="C398"/>
    <x v="2"/>
    <x v="3"/>
    <x v="6"/>
    <x v="3"/>
    <n v="6"/>
    <n v="119"/>
    <n v="714"/>
    <x v="1"/>
    <n v="714"/>
    <s v="Card"/>
    <n v="10"/>
    <s v="Delivered"/>
    <n v="1"/>
  </r>
  <r>
    <x v="398"/>
    <x v="6"/>
    <x v="0"/>
    <x v="0"/>
    <d v="1899-12-30T10:30:00"/>
    <s v="C399"/>
    <x v="1"/>
    <x v="2"/>
    <x v="3"/>
    <x v="2"/>
    <n v="3"/>
    <n v="22"/>
    <n v="66"/>
    <x v="2"/>
    <n v="61"/>
    <s v="Upi"/>
    <n v="15"/>
    <s v="Delivered"/>
    <n v="5"/>
  </r>
  <r>
    <x v="399"/>
    <x v="9"/>
    <x v="4"/>
    <x v="1"/>
    <d v="1899-12-30T10:30:00"/>
    <s v="C400"/>
    <x v="4"/>
    <x v="0"/>
    <x v="6"/>
    <x v="3"/>
    <n v="4"/>
    <n v="11"/>
    <n v="44"/>
    <x v="1"/>
    <n v="44"/>
    <s v="Cod"/>
    <n v="41"/>
    <s v="Delivered"/>
    <n v="5"/>
  </r>
  <r>
    <x v="400"/>
    <x v="19"/>
    <x v="2"/>
    <x v="1"/>
    <d v="1899-12-30T10:30:00"/>
    <s v="C401"/>
    <x v="6"/>
    <x v="5"/>
    <x v="8"/>
    <x v="5"/>
    <n v="5"/>
    <n v="88"/>
    <n v="440"/>
    <x v="1"/>
    <n v="440"/>
    <s v="Wallet"/>
    <n v="33"/>
    <s v="Delivered"/>
    <n v="5"/>
  </r>
  <r>
    <x v="401"/>
    <x v="11"/>
    <x v="6"/>
    <x v="0"/>
    <d v="1899-12-30T18:45:00"/>
    <s v="C402"/>
    <x v="4"/>
    <x v="6"/>
    <x v="1"/>
    <x v="1"/>
    <n v="1"/>
    <n v="75"/>
    <n v="75"/>
    <x v="1"/>
    <n v="75"/>
    <s v="Card"/>
    <n v="17"/>
    <s v="Delivered"/>
    <m/>
  </r>
  <r>
    <x v="402"/>
    <x v="11"/>
    <x v="6"/>
    <x v="0"/>
    <d v="1899-12-30T18:15:00"/>
    <s v="C403"/>
    <x v="0"/>
    <x v="0"/>
    <x v="1"/>
    <x v="1"/>
    <n v="5"/>
    <n v="58"/>
    <n v="290"/>
    <x v="1"/>
    <n v="290"/>
    <s v="Wallet"/>
    <n v="29"/>
    <s v="Late"/>
    <n v="4"/>
  </r>
  <r>
    <x v="403"/>
    <x v="10"/>
    <x v="5"/>
    <x v="0"/>
    <d v="1899-12-30T18:15:00"/>
    <s v="C404"/>
    <x v="0"/>
    <x v="7"/>
    <x v="3"/>
    <x v="2"/>
    <n v="2"/>
    <n v="10"/>
    <n v="20"/>
    <x v="0"/>
    <n v="10"/>
    <s v="Card"/>
    <n v="52"/>
    <s v="Delivered"/>
    <m/>
  </r>
  <r>
    <x v="404"/>
    <x v="14"/>
    <x v="0"/>
    <x v="0"/>
    <d v="1899-12-30T10:30:00"/>
    <s v="C405"/>
    <x v="5"/>
    <x v="5"/>
    <x v="3"/>
    <x v="2"/>
    <n v="5"/>
    <n v="30"/>
    <n v="150"/>
    <x v="1"/>
    <n v="150"/>
    <s v="Cod"/>
    <n v="15"/>
    <s v="Late"/>
    <n v="5"/>
  </r>
  <r>
    <x v="405"/>
    <x v="18"/>
    <x v="6"/>
    <x v="0"/>
    <d v="1899-12-30T09:05:00"/>
    <s v="C406"/>
    <x v="2"/>
    <x v="2"/>
    <x v="5"/>
    <x v="0"/>
    <n v="4"/>
    <n v="84"/>
    <n v="336"/>
    <x v="2"/>
    <n v="331"/>
    <s v="Wallet"/>
    <n v="52"/>
    <s v="Late"/>
    <n v="5"/>
  </r>
  <r>
    <x v="406"/>
    <x v="9"/>
    <x v="4"/>
    <x v="1"/>
    <d v="1899-12-30T18:45:00"/>
    <s v="C407"/>
    <x v="1"/>
    <x v="1"/>
    <x v="0"/>
    <x v="0"/>
    <n v="1"/>
    <n v="22"/>
    <n v="22"/>
    <x v="2"/>
    <n v="17"/>
    <s v="Wallet"/>
    <n v="46"/>
    <s v="Late"/>
    <n v="5"/>
  </r>
  <r>
    <x v="407"/>
    <x v="18"/>
    <x v="6"/>
    <x v="0"/>
    <d v="1899-12-30T09:05:00"/>
    <s v="C408"/>
    <x v="5"/>
    <x v="2"/>
    <x v="7"/>
    <x v="4"/>
    <n v="6"/>
    <n v="74"/>
    <n v="444"/>
    <x v="2"/>
    <n v="439"/>
    <s v="Upi"/>
    <n v="26"/>
    <s v="Delivered"/>
    <n v="3"/>
  </r>
  <r>
    <x v="408"/>
    <x v="4"/>
    <x v="2"/>
    <x v="1"/>
    <d v="1899-12-30T18:15:00"/>
    <s v="C409"/>
    <x v="1"/>
    <x v="4"/>
    <x v="8"/>
    <x v="5"/>
    <n v="5"/>
    <n v="46"/>
    <n v="230"/>
    <x v="2"/>
    <n v="225"/>
    <s v="Wallet"/>
    <n v="54"/>
    <s v="Late"/>
    <n v="4"/>
  </r>
  <r>
    <x v="409"/>
    <x v="2"/>
    <x v="2"/>
    <x v="1"/>
    <d v="1899-12-30T18:15:00"/>
    <s v="C410"/>
    <x v="1"/>
    <x v="2"/>
    <x v="1"/>
    <x v="1"/>
    <n v="4"/>
    <n v="63"/>
    <n v="252"/>
    <x v="0"/>
    <n v="242"/>
    <s v="Upi"/>
    <n v="52"/>
    <s v="Delivered"/>
    <n v="2"/>
  </r>
  <r>
    <x v="410"/>
    <x v="3"/>
    <x v="2"/>
    <x v="1"/>
    <d v="1899-12-30T09:05:00"/>
    <s v="C411"/>
    <x v="3"/>
    <x v="6"/>
    <x v="1"/>
    <x v="1"/>
    <n v="5"/>
    <n v="86"/>
    <n v="430"/>
    <x v="1"/>
    <n v="430"/>
    <s v="Upi"/>
    <n v="45"/>
    <s v="Delivered"/>
    <n v="1"/>
  </r>
  <r>
    <x v="411"/>
    <x v="2"/>
    <x v="2"/>
    <x v="1"/>
    <d v="1899-12-30T10:30:00"/>
    <s v="C412"/>
    <x v="3"/>
    <x v="3"/>
    <x v="2"/>
    <x v="0"/>
    <n v="2"/>
    <n v="82"/>
    <n v="164"/>
    <x v="2"/>
    <n v="159"/>
    <s v="Upi"/>
    <n v="51"/>
    <s v="Late"/>
    <m/>
  </r>
  <r>
    <x v="412"/>
    <x v="10"/>
    <x v="5"/>
    <x v="0"/>
    <d v="1899-12-30T10:30:00"/>
    <s v="C413"/>
    <x v="0"/>
    <x v="5"/>
    <x v="2"/>
    <x v="0"/>
    <n v="6"/>
    <n v="51"/>
    <n v="306"/>
    <x v="0"/>
    <n v="296"/>
    <s v="Card"/>
    <n v="18"/>
    <s v="Late"/>
    <n v="2"/>
  </r>
  <r>
    <x v="413"/>
    <x v="19"/>
    <x v="2"/>
    <x v="1"/>
    <d v="1899-12-30T18:15:00"/>
    <s v="C414"/>
    <x v="0"/>
    <x v="0"/>
    <x v="2"/>
    <x v="0"/>
    <n v="5"/>
    <n v="111"/>
    <n v="555"/>
    <x v="0"/>
    <n v="545"/>
    <s v="Upi"/>
    <n v="42"/>
    <s v="Late"/>
    <n v="1"/>
  </r>
  <r>
    <x v="414"/>
    <x v="0"/>
    <x v="0"/>
    <x v="0"/>
    <d v="1899-12-30T18:15:00"/>
    <s v="C415"/>
    <x v="6"/>
    <x v="5"/>
    <x v="1"/>
    <x v="1"/>
    <n v="6"/>
    <n v="58"/>
    <n v="348"/>
    <x v="1"/>
    <n v="348"/>
    <s v="Upi"/>
    <n v="54"/>
    <s v="Delivered"/>
    <m/>
  </r>
  <r>
    <x v="415"/>
    <x v="20"/>
    <x v="3"/>
    <x v="0"/>
    <d v="1899-12-30T09:05:00"/>
    <s v="C416"/>
    <x v="5"/>
    <x v="5"/>
    <x v="7"/>
    <x v="4"/>
    <n v="1"/>
    <n v="11"/>
    <n v="11"/>
    <x v="0"/>
    <n v="1"/>
    <s v="Upi"/>
    <n v="21"/>
    <s v="Late"/>
    <n v="4"/>
  </r>
  <r>
    <x v="416"/>
    <x v="18"/>
    <x v="6"/>
    <x v="0"/>
    <d v="1899-12-30T18:15:00"/>
    <s v="C417"/>
    <x v="1"/>
    <x v="7"/>
    <x v="6"/>
    <x v="3"/>
    <n v="2"/>
    <n v="63"/>
    <n v="126"/>
    <x v="0"/>
    <n v="116"/>
    <s v="Card"/>
    <n v="55"/>
    <s v="Late"/>
    <m/>
  </r>
  <r>
    <x v="417"/>
    <x v="12"/>
    <x v="6"/>
    <x v="0"/>
    <d v="1899-12-30T09:05:00"/>
    <s v="C418"/>
    <x v="0"/>
    <x v="4"/>
    <x v="5"/>
    <x v="0"/>
    <n v="6"/>
    <n v="66"/>
    <n v="396"/>
    <x v="0"/>
    <n v="386"/>
    <s v="Wallet"/>
    <n v="12"/>
    <s v="Delivered"/>
    <m/>
  </r>
  <r>
    <x v="418"/>
    <x v="16"/>
    <x v="4"/>
    <x v="1"/>
    <d v="1899-12-30T18:45:00"/>
    <s v="C419"/>
    <x v="1"/>
    <x v="3"/>
    <x v="0"/>
    <x v="0"/>
    <n v="1"/>
    <n v="62"/>
    <n v="62"/>
    <x v="1"/>
    <n v="62"/>
    <s v="Card"/>
    <n v="23"/>
    <s v="Delivered"/>
    <m/>
  </r>
  <r>
    <x v="419"/>
    <x v="3"/>
    <x v="2"/>
    <x v="1"/>
    <d v="1899-12-30T18:45:00"/>
    <s v="C420"/>
    <x v="4"/>
    <x v="4"/>
    <x v="6"/>
    <x v="3"/>
    <n v="1"/>
    <n v="14"/>
    <n v="14"/>
    <x v="2"/>
    <n v="9"/>
    <s v="Wallet"/>
    <n v="60"/>
    <s v="Delivered"/>
    <m/>
  </r>
  <r>
    <x v="420"/>
    <x v="16"/>
    <x v="4"/>
    <x v="1"/>
    <d v="1899-12-30T18:15:00"/>
    <s v="C421"/>
    <x v="3"/>
    <x v="7"/>
    <x v="2"/>
    <x v="0"/>
    <n v="5"/>
    <n v="67"/>
    <n v="335"/>
    <x v="1"/>
    <n v="335"/>
    <s v="Upi"/>
    <n v="40"/>
    <s v="Late"/>
    <n v="5"/>
  </r>
  <r>
    <x v="421"/>
    <x v="10"/>
    <x v="5"/>
    <x v="0"/>
    <d v="1899-12-30T10:30:00"/>
    <s v="C422"/>
    <x v="1"/>
    <x v="2"/>
    <x v="2"/>
    <x v="0"/>
    <n v="3"/>
    <n v="93"/>
    <n v="279"/>
    <x v="1"/>
    <n v="279"/>
    <s v="Wallet"/>
    <n v="16"/>
    <s v="Delivered"/>
    <m/>
  </r>
  <r>
    <x v="422"/>
    <x v="6"/>
    <x v="0"/>
    <x v="0"/>
    <d v="1899-12-30T09:05:00"/>
    <s v="C423"/>
    <x v="3"/>
    <x v="1"/>
    <x v="4"/>
    <x v="1"/>
    <n v="6"/>
    <n v="32"/>
    <n v="192"/>
    <x v="2"/>
    <n v="187"/>
    <s v="Cod"/>
    <n v="36"/>
    <s v="Delivered"/>
    <n v="5"/>
  </r>
  <r>
    <x v="423"/>
    <x v="9"/>
    <x v="4"/>
    <x v="1"/>
    <d v="1899-12-30T09:05:00"/>
    <s v="C424"/>
    <x v="0"/>
    <x v="0"/>
    <x v="5"/>
    <x v="0"/>
    <n v="3"/>
    <n v="46"/>
    <n v="138"/>
    <x v="1"/>
    <n v="138"/>
    <s v="Wallet"/>
    <n v="11"/>
    <s v="Delivered"/>
    <n v="1"/>
  </r>
  <r>
    <x v="424"/>
    <x v="10"/>
    <x v="5"/>
    <x v="0"/>
    <d v="1899-12-30T09:05:00"/>
    <s v="C425"/>
    <x v="0"/>
    <x v="7"/>
    <x v="2"/>
    <x v="0"/>
    <n v="3"/>
    <n v="120"/>
    <n v="360"/>
    <x v="1"/>
    <n v="360"/>
    <s v="Card"/>
    <n v="10"/>
    <s v="Delivered"/>
    <n v="4"/>
  </r>
  <r>
    <x v="425"/>
    <x v="20"/>
    <x v="3"/>
    <x v="0"/>
    <d v="1899-12-30T10:30:00"/>
    <s v="C426"/>
    <x v="6"/>
    <x v="4"/>
    <x v="0"/>
    <x v="0"/>
    <n v="1"/>
    <n v="63"/>
    <n v="63"/>
    <x v="2"/>
    <n v="58"/>
    <s v="Upi"/>
    <n v="14"/>
    <s v="Late"/>
    <n v="5"/>
  </r>
  <r>
    <x v="426"/>
    <x v="3"/>
    <x v="2"/>
    <x v="1"/>
    <d v="1899-12-30T18:15:00"/>
    <s v="C427"/>
    <x v="2"/>
    <x v="6"/>
    <x v="8"/>
    <x v="5"/>
    <n v="4"/>
    <n v="55"/>
    <n v="220"/>
    <x v="0"/>
    <n v="210"/>
    <s v="Card"/>
    <n v="41"/>
    <s v="Delivered"/>
    <n v="2"/>
  </r>
  <r>
    <x v="427"/>
    <x v="3"/>
    <x v="2"/>
    <x v="1"/>
    <d v="1899-12-30T09:05:00"/>
    <s v="C428"/>
    <x v="0"/>
    <x v="4"/>
    <x v="4"/>
    <x v="1"/>
    <n v="3"/>
    <n v="94"/>
    <n v="282"/>
    <x v="1"/>
    <n v="282"/>
    <s v="Wallet"/>
    <n v="18"/>
    <s v="Delivered"/>
    <n v="5"/>
  </r>
  <r>
    <x v="428"/>
    <x v="10"/>
    <x v="5"/>
    <x v="0"/>
    <d v="1899-12-30T09:05:00"/>
    <s v="C429"/>
    <x v="1"/>
    <x v="1"/>
    <x v="8"/>
    <x v="5"/>
    <n v="5"/>
    <n v="56"/>
    <n v="280"/>
    <x v="0"/>
    <n v="270"/>
    <s v="Cod"/>
    <n v="12"/>
    <s v="Delivered"/>
    <n v="3"/>
  </r>
  <r>
    <x v="429"/>
    <x v="0"/>
    <x v="0"/>
    <x v="0"/>
    <d v="1899-12-30T18:15:00"/>
    <s v="C430"/>
    <x v="3"/>
    <x v="5"/>
    <x v="3"/>
    <x v="2"/>
    <n v="2"/>
    <n v="41"/>
    <n v="82"/>
    <x v="1"/>
    <n v="82"/>
    <s v="Cod"/>
    <n v="15"/>
    <s v="Delivered"/>
    <n v="4"/>
  </r>
  <r>
    <x v="430"/>
    <x v="5"/>
    <x v="1"/>
    <x v="0"/>
    <d v="1899-12-30T09:05:00"/>
    <s v="C431"/>
    <x v="0"/>
    <x v="5"/>
    <x v="7"/>
    <x v="4"/>
    <n v="6"/>
    <n v="28"/>
    <n v="168"/>
    <x v="2"/>
    <n v="163"/>
    <s v="Card"/>
    <n v="47"/>
    <s v="Delivered"/>
    <n v="2"/>
  </r>
  <r>
    <x v="431"/>
    <x v="2"/>
    <x v="2"/>
    <x v="1"/>
    <d v="1899-12-30T09:05:00"/>
    <s v="C432"/>
    <x v="5"/>
    <x v="3"/>
    <x v="1"/>
    <x v="1"/>
    <n v="1"/>
    <n v="57"/>
    <n v="57"/>
    <x v="2"/>
    <n v="52"/>
    <s v="Wallet"/>
    <n v="32"/>
    <s v="Delivered"/>
    <n v="5"/>
  </r>
  <r>
    <x v="432"/>
    <x v="3"/>
    <x v="2"/>
    <x v="1"/>
    <d v="1899-12-30T09:05:00"/>
    <s v="C433"/>
    <x v="2"/>
    <x v="6"/>
    <x v="2"/>
    <x v="0"/>
    <n v="1"/>
    <n v="22"/>
    <n v="22"/>
    <x v="0"/>
    <n v="12"/>
    <s v="Cod"/>
    <n v="50"/>
    <s v="Late"/>
    <n v="5"/>
  </r>
  <r>
    <x v="433"/>
    <x v="13"/>
    <x v="5"/>
    <x v="0"/>
    <d v="1899-12-30T18:45:00"/>
    <s v="C434"/>
    <x v="0"/>
    <x v="2"/>
    <x v="7"/>
    <x v="4"/>
    <n v="4"/>
    <n v="16"/>
    <n v="64"/>
    <x v="1"/>
    <n v="64"/>
    <s v="Wallet"/>
    <n v="55"/>
    <s v="Late"/>
    <n v="2"/>
  </r>
  <r>
    <x v="434"/>
    <x v="5"/>
    <x v="1"/>
    <x v="0"/>
    <d v="1899-12-30T10:30:00"/>
    <s v="C435"/>
    <x v="2"/>
    <x v="3"/>
    <x v="5"/>
    <x v="0"/>
    <n v="5"/>
    <n v="65"/>
    <n v="325"/>
    <x v="1"/>
    <n v="325"/>
    <s v="Card"/>
    <n v="56"/>
    <s v="Delivered"/>
    <n v="2"/>
  </r>
  <r>
    <x v="435"/>
    <x v="3"/>
    <x v="2"/>
    <x v="1"/>
    <d v="1899-12-30T10:30:00"/>
    <s v="C436"/>
    <x v="3"/>
    <x v="6"/>
    <x v="2"/>
    <x v="0"/>
    <n v="6"/>
    <n v="65"/>
    <n v="390"/>
    <x v="2"/>
    <n v="385"/>
    <s v="Upi"/>
    <n v="14"/>
    <s v="Delivered"/>
    <m/>
  </r>
  <r>
    <x v="436"/>
    <x v="1"/>
    <x v="1"/>
    <x v="0"/>
    <d v="1899-12-30T10:30:00"/>
    <s v="C437"/>
    <x v="4"/>
    <x v="2"/>
    <x v="7"/>
    <x v="4"/>
    <n v="1"/>
    <n v="73"/>
    <n v="73"/>
    <x v="1"/>
    <n v="73"/>
    <s v="Upi"/>
    <n v="41"/>
    <s v="Delivered"/>
    <n v="1"/>
  </r>
  <r>
    <x v="437"/>
    <x v="1"/>
    <x v="1"/>
    <x v="0"/>
    <d v="1899-12-30T18:15:00"/>
    <s v="C438"/>
    <x v="6"/>
    <x v="4"/>
    <x v="7"/>
    <x v="4"/>
    <n v="2"/>
    <n v="43"/>
    <n v="86"/>
    <x v="1"/>
    <n v="86"/>
    <s v="Upi"/>
    <n v="23"/>
    <s v="Delivered"/>
    <n v="5"/>
  </r>
  <r>
    <x v="438"/>
    <x v="9"/>
    <x v="4"/>
    <x v="1"/>
    <d v="1899-12-30T18:45:00"/>
    <s v="C439"/>
    <x v="3"/>
    <x v="2"/>
    <x v="5"/>
    <x v="0"/>
    <n v="1"/>
    <n v="111"/>
    <n v="111"/>
    <x v="1"/>
    <n v="111"/>
    <s v="Cod"/>
    <n v="19"/>
    <s v="Late"/>
    <m/>
  </r>
  <r>
    <x v="439"/>
    <x v="3"/>
    <x v="2"/>
    <x v="1"/>
    <d v="1899-12-30T18:15:00"/>
    <s v="C440"/>
    <x v="6"/>
    <x v="1"/>
    <x v="6"/>
    <x v="3"/>
    <n v="4"/>
    <n v="51"/>
    <n v="204"/>
    <x v="1"/>
    <n v="204"/>
    <s v="Upi"/>
    <n v="54"/>
    <s v="Late"/>
    <m/>
  </r>
  <r>
    <x v="440"/>
    <x v="9"/>
    <x v="4"/>
    <x v="1"/>
    <d v="1899-12-30T18:15:00"/>
    <s v="C441"/>
    <x v="3"/>
    <x v="2"/>
    <x v="2"/>
    <x v="0"/>
    <n v="6"/>
    <n v="119"/>
    <n v="714"/>
    <x v="1"/>
    <n v="714"/>
    <s v="Wallet"/>
    <n v="59"/>
    <s v="Delivered"/>
    <n v="1"/>
  </r>
  <r>
    <x v="441"/>
    <x v="19"/>
    <x v="2"/>
    <x v="1"/>
    <d v="1899-12-30T18:15:00"/>
    <s v="C442"/>
    <x v="5"/>
    <x v="1"/>
    <x v="6"/>
    <x v="3"/>
    <n v="1"/>
    <n v="67"/>
    <n v="67"/>
    <x v="0"/>
    <n v="57"/>
    <s v="Upi"/>
    <n v="12"/>
    <s v="Delivered"/>
    <n v="5"/>
  </r>
  <r>
    <x v="442"/>
    <x v="12"/>
    <x v="6"/>
    <x v="0"/>
    <d v="1899-12-30T10:30:00"/>
    <s v="C443"/>
    <x v="0"/>
    <x v="5"/>
    <x v="5"/>
    <x v="0"/>
    <n v="5"/>
    <n v="94"/>
    <n v="470"/>
    <x v="1"/>
    <n v="470"/>
    <s v="Card"/>
    <n v="49"/>
    <s v="Delivered"/>
    <n v="1"/>
  </r>
  <r>
    <x v="443"/>
    <x v="5"/>
    <x v="1"/>
    <x v="0"/>
    <d v="1899-12-30T18:15:00"/>
    <s v="C444"/>
    <x v="0"/>
    <x v="6"/>
    <x v="5"/>
    <x v="0"/>
    <n v="2"/>
    <n v="42"/>
    <n v="84"/>
    <x v="0"/>
    <n v="74"/>
    <s v="Cod"/>
    <n v="45"/>
    <s v="Late"/>
    <n v="4"/>
  </r>
  <r>
    <x v="444"/>
    <x v="14"/>
    <x v="0"/>
    <x v="0"/>
    <d v="1899-12-30T10:30:00"/>
    <s v="C445"/>
    <x v="2"/>
    <x v="6"/>
    <x v="2"/>
    <x v="0"/>
    <n v="1"/>
    <n v="108"/>
    <n v="108"/>
    <x v="2"/>
    <n v="103"/>
    <s v="Upi"/>
    <n v="16"/>
    <s v="Delivered"/>
    <n v="5"/>
  </r>
  <r>
    <x v="445"/>
    <x v="19"/>
    <x v="2"/>
    <x v="1"/>
    <d v="1899-12-30T09:05:00"/>
    <s v="C446"/>
    <x v="2"/>
    <x v="6"/>
    <x v="0"/>
    <x v="0"/>
    <n v="1"/>
    <n v="100"/>
    <n v="100"/>
    <x v="0"/>
    <n v="90"/>
    <s v="Cod"/>
    <n v="57"/>
    <s v="Delivered"/>
    <m/>
  </r>
  <r>
    <x v="446"/>
    <x v="5"/>
    <x v="1"/>
    <x v="0"/>
    <d v="1899-12-30T09:05:00"/>
    <s v="C447"/>
    <x v="3"/>
    <x v="7"/>
    <x v="7"/>
    <x v="4"/>
    <n v="3"/>
    <n v="56"/>
    <n v="178"/>
    <x v="0"/>
    <n v="158"/>
    <s v="Cod"/>
    <n v="12"/>
    <s v="Late"/>
    <n v="4"/>
  </r>
  <r>
    <x v="447"/>
    <x v="17"/>
    <x v="2"/>
    <x v="1"/>
    <d v="1899-12-30T10:30:00"/>
    <s v="C448"/>
    <x v="0"/>
    <x v="3"/>
    <x v="7"/>
    <x v="4"/>
    <n v="5"/>
    <n v="99"/>
    <n v="495"/>
    <x v="1"/>
    <n v="495"/>
    <s v="Upi"/>
    <n v="17"/>
    <s v="Late"/>
    <n v="4"/>
  </r>
  <r>
    <x v="448"/>
    <x v="6"/>
    <x v="0"/>
    <x v="0"/>
    <d v="1899-12-30T18:45:00"/>
    <s v="C449"/>
    <x v="1"/>
    <x v="0"/>
    <x v="5"/>
    <x v="0"/>
    <n v="5"/>
    <n v="114"/>
    <n v="570"/>
    <x v="0"/>
    <n v="560"/>
    <s v="Card"/>
    <n v="29"/>
    <s v="Late"/>
    <n v="2"/>
  </r>
  <r>
    <x v="449"/>
    <x v="1"/>
    <x v="1"/>
    <x v="0"/>
    <d v="1899-12-30T09:05:00"/>
    <s v="C450"/>
    <x v="6"/>
    <x v="0"/>
    <x v="8"/>
    <x v="5"/>
    <n v="3"/>
    <n v="77"/>
    <n v="231"/>
    <x v="2"/>
    <n v="226"/>
    <s v="Wallet"/>
    <n v="52"/>
    <s v="Delivered"/>
    <m/>
  </r>
  <r>
    <x v="450"/>
    <x v="19"/>
    <x v="2"/>
    <x v="1"/>
    <d v="1899-12-30T10:30:00"/>
    <s v="C451"/>
    <x v="0"/>
    <x v="4"/>
    <x v="6"/>
    <x v="3"/>
    <n v="4"/>
    <n v="28"/>
    <n v="112"/>
    <x v="2"/>
    <n v="107"/>
    <s v="Upi"/>
    <n v="16"/>
    <s v="Delivered"/>
    <n v="3"/>
  </r>
  <r>
    <x v="451"/>
    <x v="5"/>
    <x v="1"/>
    <x v="0"/>
    <d v="1899-12-30T10:30:00"/>
    <s v="C452"/>
    <x v="1"/>
    <x v="6"/>
    <x v="1"/>
    <x v="1"/>
    <n v="4"/>
    <n v="50"/>
    <n v="200"/>
    <x v="2"/>
    <n v="195"/>
    <s v="Wallet"/>
    <n v="31"/>
    <s v="Delivered"/>
    <n v="3"/>
  </r>
  <r>
    <x v="452"/>
    <x v="2"/>
    <x v="2"/>
    <x v="1"/>
    <d v="1899-12-30T18:45:00"/>
    <s v="C453"/>
    <x v="6"/>
    <x v="6"/>
    <x v="0"/>
    <x v="0"/>
    <n v="2"/>
    <n v="36"/>
    <n v="72"/>
    <x v="0"/>
    <n v="62"/>
    <s v="Upi"/>
    <n v="17"/>
    <s v="Delivered"/>
    <n v="5"/>
  </r>
  <r>
    <x v="453"/>
    <x v="12"/>
    <x v="6"/>
    <x v="0"/>
    <d v="1899-12-30T10:30:00"/>
    <s v="C454"/>
    <x v="6"/>
    <x v="0"/>
    <x v="0"/>
    <x v="0"/>
    <n v="3"/>
    <n v="83"/>
    <n v="259"/>
    <x v="1"/>
    <n v="249"/>
    <s v="Upi"/>
    <n v="57"/>
    <s v="Late"/>
    <n v="2"/>
  </r>
  <r>
    <x v="454"/>
    <x v="7"/>
    <x v="3"/>
    <x v="0"/>
    <d v="1899-12-30T09:05:00"/>
    <s v="C455"/>
    <x v="1"/>
    <x v="2"/>
    <x v="6"/>
    <x v="3"/>
    <n v="4"/>
    <n v="77"/>
    <n v="308"/>
    <x v="1"/>
    <n v="308"/>
    <s v="Upi"/>
    <n v="40"/>
    <s v="Late"/>
    <n v="2"/>
  </r>
  <r>
    <x v="455"/>
    <x v="2"/>
    <x v="2"/>
    <x v="1"/>
    <d v="1899-12-30T09:05:00"/>
    <s v="C456"/>
    <x v="0"/>
    <x v="6"/>
    <x v="4"/>
    <x v="1"/>
    <n v="6"/>
    <n v="36"/>
    <n v="216"/>
    <x v="1"/>
    <n v="216"/>
    <s v="Upi"/>
    <n v="42"/>
    <s v="Delivered"/>
    <n v="2"/>
  </r>
  <r>
    <x v="456"/>
    <x v="2"/>
    <x v="2"/>
    <x v="1"/>
    <d v="1899-12-30T09:05:00"/>
    <s v="C457"/>
    <x v="3"/>
    <x v="1"/>
    <x v="6"/>
    <x v="3"/>
    <n v="4"/>
    <n v="56"/>
    <n v="224"/>
    <x v="0"/>
    <n v="214"/>
    <s v="Cod"/>
    <n v="25"/>
    <s v="Delivered"/>
    <n v="4"/>
  </r>
  <r>
    <x v="457"/>
    <x v="5"/>
    <x v="1"/>
    <x v="0"/>
    <d v="1899-12-30T09:05:00"/>
    <s v="C458"/>
    <x v="1"/>
    <x v="0"/>
    <x v="2"/>
    <x v="0"/>
    <n v="3"/>
    <n v="110"/>
    <n v="330"/>
    <x v="0"/>
    <n v="320"/>
    <s v="Card"/>
    <n v="56"/>
    <s v="Delivered"/>
    <n v="2"/>
  </r>
  <r>
    <x v="458"/>
    <x v="5"/>
    <x v="1"/>
    <x v="0"/>
    <d v="1899-12-30T09:05:00"/>
    <s v="C459"/>
    <x v="6"/>
    <x v="6"/>
    <x v="5"/>
    <x v="0"/>
    <n v="4"/>
    <n v="106"/>
    <n v="424"/>
    <x v="0"/>
    <n v="414"/>
    <s v="Card"/>
    <n v="45"/>
    <s v="Late"/>
    <m/>
  </r>
  <r>
    <x v="459"/>
    <x v="9"/>
    <x v="4"/>
    <x v="1"/>
    <d v="1899-12-30T09:05:00"/>
    <s v="C460"/>
    <x v="3"/>
    <x v="5"/>
    <x v="0"/>
    <x v="0"/>
    <n v="5"/>
    <n v="60"/>
    <n v="300"/>
    <x v="0"/>
    <n v="290"/>
    <s v="Card"/>
    <n v="53"/>
    <s v="Late"/>
    <n v="3"/>
  </r>
  <r>
    <x v="460"/>
    <x v="0"/>
    <x v="0"/>
    <x v="0"/>
    <d v="1899-12-30T09:05:00"/>
    <s v="C461"/>
    <x v="2"/>
    <x v="3"/>
    <x v="8"/>
    <x v="5"/>
    <n v="4"/>
    <n v="44"/>
    <n v="176"/>
    <x v="1"/>
    <n v="176"/>
    <s v="Card"/>
    <n v="54"/>
    <s v="Delivered"/>
    <n v="4"/>
  </r>
  <r>
    <x v="461"/>
    <x v="20"/>
    <x v="3"/>
    <x v="0"/>
    <d v="1899-12-30T09:05:00"/>
    <s v="C462"/>
    <x v="6"/>
    <x v="4"/>
    <x v="3"/>
    <x v="2"/>
    <n v="6"/>
    <n v="85"/>
    <n v="510"/>
    <x v="0"/>
    <n v="500"/>
    <s v="Cod"/>
    <n v="40"/>
    <s v="Delivered"/>
    <n v="2"/>
  </r>
  <r>
    <x v="462"/>
    <x v="2"/>
    <x v="2"/>
    <x v="1"/>
    <d v="1899-12-30T10:30:00"/>
    <s v="C463"/>
    <x v="4"/>
    <x v="1"/>
    <x v="1"/>
    <x v="1"/>
    <n v="3"/>
    <n v="41"/>
    <n v="123"/>
    <x v="1"/>
    <n v="123"/>
    <s v="Upi"/>
    <n v="15"/>
    <s v="Delivered"/>
    <m/>
  </r>
  <r>
    <x v="463"/>
    <x v="11"/>
    <x v="6"/>
    <x v="0"/>
    <d v="1899-12-30T09:05:00"/>
    <s v="C464"/>
    <x v="1"/>
    <x v="6"/>
    <x v="1"/>
    <x v="1"/>
    <n v="6"/>
    <n v="102"/>
    <n v="612"/>
    <x v="1"/>
    <n v="612"/>
    <s v="Wallet"/>
    <n v="58"/>
    <s v="Delivered"/>
    <n v="2"/>
  </r>
  <r>
    <x v="464"/>
    <x v="14"/>
    <x v="0"/>
    <x v="0"/>
    <d v="1899-12-30T09:05:00"/>
    <s v="C465"/>
    <x v="1"/>
    <x v="4"/>
    <x v="8"/>
    <x v="5"/>
    <n v="1"/>
    <n v="24"/>
    <n v="24"/>
    <x v="1"/>
    <n v="24"/>
    <s v="Card"/>
    <n v="31"/>
    <s v="Late"/>
    <m/>
  </r>
  <r>
    <x v="465"/>
    <x v="10"/>
    <x v="5"/>
    <x v="0"/>
    <d v="1899-12-30T18:15:00"/>
    <s v="C466"/>
    <x v="1"/>
    <x v="5"/>
    <x v="5"/>
    <x v="0"/>
    <n v="4"/>
    <n v="14"/>
    <n v="56"/>
    <x v="2"/>
    <n v="51"/>
    <s v="Wallet"/>
    <n v="59"/>
    <s v="Late"/>
    <n v="5"/>
  </r>
  <r>
    <x v="466"/>
    <x v="2"/>
    <x v="2"/>
    <x v="1"/>
    <d v="1899-12-30T18:15:00"/>
    <s v="C467"/>
    <x v="1"/>
    <x v="7"/>
    <x v="0"/>
    <x v="0"/>
    <n v="3"/>
    <n v="17"/>
    <n v="51"/>
    <x v="2"/>
    <n v="46"/>
    <s v="Cod"/>
    <n v="21"/>
    <s v="Late"/>
    <n v="2"/>
  </r>
  <r>
    <x v="467"/>
    <x v="4"/>
    <x v="2"/>
    <x v="1"/>
    <d v="1899-12-30T09:05:00"/>
    <s v="C468"/>
    <x v="4"/>
    <x v="6"/>
    <x v="5"/>
    <x v="0"/>
    <n v="1"/>
    <n v="116"/>
    <n v="116"/>
    <x v="1"/>
    <n v="116"/>
    <s v="Cod"/>
    <n v="15"/>
    <s v="Late"/>
    <n v="3"/>
  </r>
  <r>
    <x v="468"/>
    <x v="17"/>
    <x v="2"/>
    <x v="1"/>
    <d v="1899-12-30T10:30:00"/>
    <s v="C469"/>
    <x v="2"/>
    <x v="5"/>
    <x v="1"/>
    <x v="1"/>
    <n v="5"/>
    <n v="120"/>
    <n v="600"/>
    <x v="1"/>
    <n v="600"/>
    <s v="Card"/>
    <n v="28"/>
    <s v="Late"/>
    <n v="4"/>
  </r>
  <r>
    <x v="469"/>
    <x v="9"/>
    <x v="4"/>
    <x v="1"/>
    <d v="1899-12-30T09:05:00"/>
    <s v="C470"/>
    <x v="0"/>
    <x v="7"/>
    <x v="8"/>
    <x v="5"/>
    <n v="1"/>
    <n v="34"/>
    <n v="34"/>
    <x v="1"/>
    <n v="34"/>
    <s v="Upi"/>
    <n v="60"/>
    <s v="Late"/>
    <n v="3"/>
  </r>
  <r>
    <x v="470"/>
    <x v="3"/>
    <x v="2"/>
    <x v="1"/>
    <d v="1899-12-30T10:30:00"/>
    <s v="C471"/>
    <x v="6"/>
    <x v="7"/>
    <x v="6"/>
    <x v="3"/>
    <n v="4"/>
    <n v="90"/>
    <n v="360"/>
    <x v="0"/>
    <n v="350"/>
    <s v="Upi"/>
    <n v="25"/>
    <s v="Delivered"/>
    <n v="5"/>
  </r>
  <r>
    <x v="471"/>
    <x v="6"/>
    <x v="0"/>
    <x v="0"/>
    <d v="1899-12-30T09:05:00"/>
    <s v="C472"/>
    <x v="0"/>
    <x v="0"/>
    <x v="7"/>
    <x v="4"/>
    <n v="2"/>
    <n v="118"/>
    <n v="236"/>
    <x v="2"/>
    <n v="231"/>
    <s v="Upi"/>
    <n v="22"/>
    <s v="Delivered"/>
    <n v="5"/>
  </r>
  <r>
    <x v="472"/>
    <x v="19"/>
    <x v="2"/>
    <x v="1"/>
    <d v="1899-12-30T10:30:00"/>
    <s v="C473"/>
    <x v="1"/>
    <x v="2"/>
    <x v="4"/>
    <x v="1"/>
    <n v="3"/>
    <n v="120"/>
    <n v="360"/>
    <x v="2"/>
    <n v="355"/>
    <s v="Upi"/>
    <n v="41"/>
    <s v="Delivered"/>
    <m/>
  </r>
  <r>
    <x v="473"/>
    <x v="2"/>
    <x v="2"/>
    <x v="1"/>
    <d v="1899-12-30T18:15:00"/>
    <s v="C474"/>
    <x v="4"/>
    <x v="2"/>
    <x v="5"/>
    <x v="0"/>
    <n v="2"/>
    <n v="54"/>
    <n v="108"/>
    <x v="2"/>
    <n v="103"/>
    <s v="Upi"/>
    <n v="48"/>
    <s v="Late"/>
    <n v="2"/>
  </r>
  <r>
    <x v="474"/>
    <x v="6"/>
    <x v="0"/>
    <x v="0"/>
    <d v="1899-12-30T18:45:00"/>
    <s v="C475"/>
    <x v="3"/>
    <x v="7"/>
    <x v="6"/>
    <x v="3"/>
    <n v="2"/>
    <n v="105"/>
    <n v="210"/>
    <x v="1"/>
    <n v="210"/>
    <s v="Wallet"/>
    <n v="50"/>
    <s v="Delivered"/>
    <m/>
  </r>
  <r>
    <x v="475"/>
    <x v="0"/>
    <x v="0"/>
    <x v="0"/>
    <d v="1899-12-30T09:05:00"/>
    <s v="C476"/>
    <x v="2"/>
    <x v="2"/>
    <x v="8"/>
    <x v="5"/>
    <n v="6"/>
    <n v="77"/>
    <n v="462"/>
    <x v="1"/>
    <n v="462"/>
    <s v="Card"/>
    <n v="40"/>
    <s v="Late"/>
    <n v="2"/>
  </r>
  <r>
    <x v="476"/>
    <x v="9"/>
    <x v="4"/>
    <x v="1"/>
    <d v="1899-12-30T18:45:00"/>
    <s v="C477"/>
    <x v="2"/>
    <x v="0"/>
    <x v="0"/>
    <x v="0"/>
    <n v="5"/>
    <n v="76"/>
    <n v="380"/>
    <x v="2"/>
    <n v="375"/>
    <s v="Card"/>
    <n v="10"/>
    <s v="Late"/>
    <n v="2"/>
  </r>
  <r>
    <x v="477"/>
    <x v="20"/>
    <x v="3"/>
    <x v="0"/>
    <d v="1899-12-30T18:45:00"/>
    <s v="C478"/>
    <x v="0"/>
    <x v="5"/>
    <x v="6"/>
    <x v="3"/>
    <n v="6"/>
    <n v="87"/>
    <n v="522"/>
    <x v="0"/>
    <n v="512"/>
    <s v="Cod"/>
    <n v="50"/>
    <s v="Delivered"/>
    <n v="4"/>
  </r>
  <r>
    <x v="478"/>
    <x v="6"/>
    <x v="0"/>
    <x v="0"/>
    <d v="1899-12-30T10:30:00"/>
    <s v="C479"/>
    <x v="2"/>
    <x v="5"/>
    <x v="7"/>
    <x v="4"/>
    <n v="6"/>
    <n v="46"/>
    <n v="276"/>
    <x v="0"/>
    <n v="266"/>
    <s v="Upi"/>
    <n v="23"/>
    <s v="Delivered"/>
    <m/>
  </r>
  <r>
    <x v="479"/>
    <x v="11"/>
    <x v="6"/>
    <x v="0"/>
    <d v="1899-12-30T09:05:00"/>
    <s v="C480"/>
    <x v="2"/>
    <x v="7"/>
    <x v="4"/>
    <x v="1"/>
    <n v="5"/>
    <n v="109"/>
    <n v="545"/>
    <x v="1"/>
    <n v="545"/>
    <s v="Upi"/>
    <n v="51"/>
    <s v="Delivered"/>
    <n v="5"/>
  </r>
  <r>
    <x v="480"/>
    <x v="18"/>
    <x v="6"/>
    <x v="0"/>
    <d v="1899-12-30T10:30:00"/>
    <s v="C481"/>
    <x v="2"/>
    <x v="0"/>
    <x v="2"/>
    <x v="0"/>
    <n v="1"/>
    <n v="94"/>
    <n v="94"/>
    <x v="2"/>
    <n v="89"/>
    <s v="Wallet"/>
    <n v="37"/>
    <s v="Delivered"/>
    <m/>
  </r>
  <r>
    <x v="481"/>
    <x v="13"/>
    <x v="5"/>
    <x v="0"/>
    <d v="1899-12-30T09:05:00"/>
    <s v="C482"/>
    <x v="3"/>
    <x v="3"/>
    <x v="2"/>
    <x v="0"/>
    <n v="2"/>
    <n v="92"/>
    <n v="184"/>
    <x v="1"/>
    <n v="184"/>
    <s v="Cod"/>
    <n v="32"/>
    <s v="Late"/>
    <m/>
  </r>
  <r>
    <x v="482"/>
    <x v="4"/>
    <x v="2"/>
    <x v="1"/>
    <d v="1899-12-30T10:30:00"/>
    <s v="C483"/>
    <x v="0"/>
    <x v="3"/>
    <x v="0"/>
    <x v="0"/>
    <n v="5"/>
    <n v="118"/>
    <n v="590"/>
    <x v="1"/>
    <n v="590"/>
    <s v="Wallet"/>
    <n v="19"/>
    <s v="Delivered"/>
    <n v="3"/>
  </r>
  <r>
    <x v="483"/>
    <x v="13"/>
    <x v="5"/>
    <x v="0"/>
    <d v="1899-12-30T18:45:00"/>
    <s v="C484"/>
    <x v="1"/>
    <x v="6"/>
    <x v="5"/>
    <x v="0"/>
    <n v="4"/>
    <n v="28"/>
    <n v="112"/>
    <x v="1"/>
    <n v="112"/>
    <s v="Wallet"/>
    <n v="58"/>
    <s v="Late"/>
    <n v="4"/>
  </r>
  <r>
    <x v="484"/>
    <x v="9"/>
    <x v="4"/>
    <x v="1"/>
    <d v="1899-12-30T10:30:00"/>
    <s v="C485"/>
    <x v="4"/>
    <x v="1"/>
    <x v="0"/>
    <x v="0"/>
    <n v="4"/>
    <n v="47"/>
    <n v="188"/>
    <x v="1"/>
    <n v="188"/>
    <s v="Card"/>
    <n v="35"/>
    <s v="Delivered"/>
    <n v="4"/>
  </r>
  <r>
    <x v="485"/>
    <x v="20"/>
    <x v="3"/>
    <x v="0"/>
    <d v="1899-12-30T10:30:00"/>
    <s v="C486"/>
    <x v="1"/>
    <x v="5"/>
    <x v="2"/>
    <x v="0"/>
    <n v="5"/>
    <n v="104"/>
    <n v="520"/>
    <x v="1"/>
    <n v="520"/>
    <s v="Upi"/>
    <n v="56"/>
    <s v="Late"/>
    <n v="5"/>
  </r>
  <r>
    <x v="486"/>
    <x v="2"/>
    <x v="2"/>
    <x v="1"/>
    <d v="1899-12-30T18:45:00"/>
    <s v="C487"/>
    <x v="1"/>
    <x v="3"/>
    <x v="0"/>
    <x v="0"/>
    <n v="5"/>
    <n v="85"/>
    <n v="425"/>
    <x v="0"/>
    <n v="415"/>
    <s v="Upi"/>
    <n v="14"/>
    <s v="Delivered"/>
    <n v="2"/>
  </r>
  <r>
    <x v="487"/>
    <x v="4"/>
    <x v="2"/>
    <x v="1"/>
    <d v="1899-12-30T10:30:00"/>
    <s v="C488"/>
    <x v="5"/>
    <x v="4"/>
    <x v="7"/>
    <x v="4"/>
    <n v="4"/>
    <n v="78"/>
    <n v="312"/>
    <x v="1"/>
    <n v="312"/>
    <s v="Card"/>
    <n v="35"/>
    <s v="Delivered"/>
    <n v="1"/>
  </r>
  <r>
    <x v="488"/>
    <x v="11"/>
    <x v="6"/>
    <x v="0"/>
    <d v="1899-12-30T10:30:00"/>
    <s v="C489"/>
    <x v="0"/>
    <x v="3"/>
    <x v="2"/>
    <x v="0"/>
    <n v="6"/>
    <n v="110"/>
    <n v="660"/>
    <x v="1"/>
    <n v="660"/>
    <s v="Upi"/>
    <n v="44"/>
    <s v="Delivered"/>
    <n v="2"/>
  </r>
  <r>
    <x v="489"/>
    <x v="2"/>
    <x v="2"/>
    <x v="1"/>
    <d v="1899-12-30T18:15:00"/>
    <s v="C490"/>
    <x v="6"/>
    <x v="4"/>
    <x v="2"/>
    <x v="0"/>
    <n v="5"/>
    <n v="15"/>
    <n v="85"/>
    <x v="2"/>
    <n v="70"/>
    <s v="Card"/>
    <n v="18"/>
    <s v="Late"/>
    <n v="2"/>
  </r>
  <r>
    <x v="490"/>
    <x v="19"/>
    <x v="2"/>
    <x v="1"/>
    <d v="1899-12-30T18:45:00"/>
    <s v="C491"/>
    <x v="1"/>
    <x v="2"/>
    <x v="4"/>
    <x v="1"/>
    <n v="3"/>
    <n v="85"/>
    <n v="255"/>
    <x v="1"/>
    <n v="255"/>
    <s v="Card"/>
    <n v="12"/>
    <s v="Delivered"/>
    <n v="5"/>
  </r>
  <r>
    <x v="491"/>
    <x v="10"/>
    <x v="5"/>
    <x v="0"/>
    <d v="1899-12-30T09:05:00"/>
    <s v="C492"/>
    <x v="6"/>
    <x v="7"/>
    <x v="5"/>
    <x v="0"/>
    <n v="2"/>
    <n v="20"/>
    <n v="50"/>
    <x v="1"/>
    <n v="40"/>
    <s v="Card"/>
    <n v="43"/>
    <s v="Late"/>
    <n v="5"/>
  </r>
  <r>
    <x v="492"/>
    <x v="19"/>
    <x v="2"/>
    <x v="1"/>
    <d v="1899-12-30T18:15:00"/>
    <s v="C493"/>
    <x v="0"/>
    <x v="6"/>
    <x v="6"/>
    <x v="3"/>
    <n v="5"/>
    <n v="43"/>
    <n v="215"/>
    <x v="2"/>
    <n v="210"/>
    <s v="Upi"/>
    <n v="10"/>
    <s v="Delivered"/>
    <n v="4"/>
  </r>
  <r>
    <x v="493"/>
    <x v="20"/>
    <x v="3"/>
    <x v="0"/>
    <d v="1899-12-30T18:45:00"/>
    <s v="C494"/>
    <x v="2"/>
    <x v="1"/>
    <x v="3"/>
    <x v="2"/>
    <n v="4"/>
    <n v="103"/>
    <n v="422"/>
    <x v="1"/>
    <n v="412"/>
    <s v="Wallet"/>
    <n v="43"/>
    <s v="Delivered"/>
    <n v="2"/>
  </r>
  <r>
    <x v="494"/>
    <x v="6"/>
    <x v="0"/>
    <x v="0"/>
    <d v="1899-12-30T18:45:00"/>
    <s v="C495"/>
    <x v="5"/>
    <x v="1"/>
    <x v="4"/>
    <x v="1"/>
    <n v="5"/>
    <n v="53"/>
    <n v="265"/>
    <x v="2"/>
    <n v="260"/>
    <s v="Cod"/>
    <n v="17"/>
    <s v="Late"/>
    <n v="3"/>
  </r>
  <r>
    <x v="495"/>
    <x v="11"/>
    <x v="6"/>
    <x v="0"/>
    <d v="1899-12-30T18:15:00"/>
    <s v="C496"/>
    <x v="2"/>
    <x v="3"/>
    <x v="5"/>
    <x v="0"/>
    <n v="1"/>
    <n v="115"/>
    <n v="115"/>
    <x v="2"/>
    <n v="110"/>
    <s v="Upi"/>
    <n v="21"/>
    <s v="Late"/>
    <n v="4"/>
  </r>
  <r>
    <x v="496"/>
    <x v="20"/>
    <x v="3"/>
    <x v="0"/>
    <d v="1899-12-30T09:05:00"/>
    <s v="C497"/>
    <x v="0"/>
    <x v="0"/>
    <x v="2"/>
    <x v="0"/>
    <n v="3"/>
    <n v="73"/>
    <n v="219"/>
    <x v="2"/>
    <n v="214"/>
    <s v="Upi"/>
    <n v="26"/>
    <s v="Delivered"/>
    <m/>
  </r>
  <r>
    <x v="497"/>
    <x v="20"/>
    <x v="3"/>
    <x v="0"/>
    <d v="1899-12-30T09:05:00"/>
    <s v="C498"/>
    <x v="3"/>
    <x v="7"/>
    <x v="0"/>
    <x v="0"/>
    <n v="6"/>
    <n v="53"/>
    <n v="318"/>
    <x v="1"/>
    <n v="318"/>
    <s v="Card"/>
    <n v="38"/>
    <s v="Delivered"/>
    <n v="2"/>
  </r>
  <r>
    <x v="498"/>
    <x v="3"/>
    <x v="2"/>
    <x v="1"/>
    <d v="1899-12-30T10:30:00"/>
    <s v="C499"/>
    <x v="1"/>
    <x v="5"/>
    <x v="6"/>
    <x v="3"/>
    <n v="1"/>
    <n v="98"/>
    <n v="98"/>
    <x v="1"/>
    <n v="98"/>
    <s v="Upi"/>
    <n v="42"/>
    <s v="Late"/>
    <n v="5"/>
  </r>
  <r>
    <x v="499"/>
    <x v="19"/>
    <x v="2"/>
    <x v="1"/>
    <d v="1899-12-30T18:45:00"/>
    <s v="C500"/>
    <x v="1"/>
    <x v="7"/>
    <x v="6"/>
    <x v="3"/>
    <n v="3"/>
    <n v="101"/>
    <n v="303"/>
    <x v="1"/>
    <n v="303"/>
    <s v="Upi"/>
    <n v="18"/>
    <s v="Late"/>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A2A863-8851-4BC7-B0B1-565A4A1E87E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1:B9" firstHeaderRow="1" firstDataRow="1" firstDataCol="1"/>
  <pivotFields count="21">
    <pivotField showAll="0"/>
    <pivotField numFmtId="164" showAll="0">
      <items count="22">
        <item x="14"/>
        <item x="7"/>
        <item x="13"/>
        <item x="17"/>
        <item x="16"/>
        <item x="1"/>
        <item x="18"/>
        <item x="0"/>
        <item x="8"/>
        <item x="15"/>
        <item x="3"/>
        <item x="2"/>
        <item x="19"/>
        <item x="11"/>
        <item x="20"/>
        <item x="9"/>
        <item x="12"/>
        <item x="10"/>
        <item x="5"/>
        <item x="6"/>
        <item x="4"/>
        <item t="default"/>
      </items>
    </pivotField>
    <pivotField showAll="0"/>
    <pivotField showAll="0"/>
    <pivotField numFmtId="165" showAll="0"/>
    <pivotField showAll="0"/>
    <pivotField showAll="0">
      <items count="8">
        <item x="1"/>
        <item x="4"/>
        <item x="3"/>
        <item x="0"/>
        <item x="5"/>
        <item x="6"/>
        <item x="2"/>
        <item t="default"/>
      </items>
    </pivotField>
    <pivotField axis="axisRow" showAll="0">
      <items count="9">
        <item x="3"/>
        <item x="1"/>
        <item x="0"/>
        <item x="4"/>
        <item x="6"/>
        <item x="7"/>
        <item x="2"/>
        <item x="5"/>
        <item t="default"/>
      </items>
    </pivotField>
    <pivotField showAll="0"/>
    <pivotField showAll="0">
      <items count="7">
        <item x="2"/>
        <item x="0"/>
        <item x="1"/>
        <item x="4"/>
        <item x="5"/>
        <item x="3"/>
        <item t="default"/>
      </items>
    </pivotField>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8">
    <i>
      <x/>
    </i>
    <i>
      <x v="1"/>
    </i>
    <i>
      <x v="2"/>
    </i>
    <i>
      <x v="3"/>
    </i>
    <i>
      <x v="4"/>
    </i>
    <i>
      <x v="5"/>
    </i>
    <i>
      <x v="6"/>
    </i>
    <i>
      <x v="7"/>
    </i>
  </rowItems>
  <colItems count="1">
    <i/>
  </colItems>
  <dataFields count="1">
    <dataField name="Sum of Customer_Rating" fld="18" baseField="0" baseItem="0"/>
  </dataFields>
  <chartFormats count="2">
    <chartFormat chart="4"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7F49B1-639B-4FD8-B35A-935ABA74CB7A}"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1:B7" firstHeaderRow="1" firstDataRow="1" firstDataCol="1"/>
  <pivotFields count="21">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64" showAll="0">
      <items count="22">
        <item x="14"/>
        <item x="7"/>
        <item x="13"/>
        <item x="17"/>
        <item x="16"/>
        <item x="1"/>
        <item x="18"/>
        <item x="0"/>
        <item x="8"/>
        <item x="15"/>
        <item x="3"/>
        <item x="2"/>
        <item x="19"/>
        <item x="11"/>
        <item x="20"/>
        <item x="9"/>
        <item x="12"/>
        <item x="10"/>
        <item x="5"/>
        <item x="6"/>
        <item x="4"/>
        <item t="default"/>
      </items>
    </pivotField>
    <pivotField showAll="0"/>
    <pivotField showAll="0">
      <items count="3">
        <item x="0"/>
        <item x="1"/>
        <item t="default"/>
      </items>
    </pivotField>
    <pivotField numFmtId="165" showAll="0"/>
    <pivotField showAll="0"/>
    <pivotField showAll="0">
      <items count="8">
        <item x="1"/>
        <item x="4"/>
        <item x="3"/>
        <item x="0"/>
        <item x="5"/>
        <item x="6"/>
        <item x="2"/>
        <item t="default"/>
      </items>
    </pivotField>
    <pivotField showAll="0">
      <items count="9">
        <item x="3"/>
        <item x="1"/>
        <item x="0"/>
        <item x="4"/>
        <item x="6"/>
        <item x="7"/>
        <item x="2"/>
        <item x="5"/>
        <item t="default"/>
      </items>
    </pivotField>
    <pivotField showAll="0"/>
    <pivotField axis="axisRow" showAll="0">
      <items count="7">
        <item x="2"/>
        <item x="0"/>
        <item x="1"/>
        <item x="4"/>
        <item x="5"/>
        <item x="3"/>
        <item t="default"/>
      </items>
    </pivotField>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x="1"/>
        <item sd="0" x="2"/>
        <item sd="0" x="3"/>
        <item sd="0" x="4"/>
        <item sd="0" x="5"/>
        <item sd="0" x="6"/>
        <item sd="0" x="7"/>
        <item sd="0" x="8"/>
        <item sd="0" x="9"/>
        <item sd="0" x="10"/>
        <item sd="0" x="11"/>
        <item sd="0" x="12"/>
        <item sd="0" x="13"/>
        <item t="default"/>
      </items>
    </pivotField>
  </pivotFields>
  <rowFields count="1">
    <field x="9"/>
  </rowFields>
  <rowItems count="6">
    <i>
      <x/>
    </i>
    <i>
      <x v="1"/>
    </i>
    <i>
      <x v="2"/>
    </i>
    <i>
      <x v="3"/>
    </i>
    <i>
      <x v="4"/>
    </i>
    <i>
      <x v="5"/>
    </i>
  </rowItems>
  <colItems count="1">
    <i/>
  </colItems>
  <dataFields count="1">
    <dataField name="Count of Order_ID" fld="0" subtotal="count"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40BE73-422C-4894-B480-588F72591E1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9" firstHeaderRow="1" firstDataRow="1" firstDataCol="1"/>
  <pivotFields count="21">
    <pivotField showAll="0"/>
    <pivotField numFmtId="164" showAll="0">
      <items count="22">
        <item x="14"/>
        <item x="7"/>
        <item x="13"/>
        <item x="17"/>
        <item x="16"/>
        <item x="1"/>
        <item x="18"/>
        <item x="0"/>
        <item x="8"/>
        <item x="15"/>
        <item x="3"/>
        <item x="2"/>
        <item x="19"/>
        <item x="11"/>
        <item x="20"/>
        <item x="9"/>
        <item x="12"/>
        <item x="10"/>
        <item x="5"/>
        <item x="6"/>
        <item x="4"/>
        <item t="default"/>
      </items>
    </pivotField>
    <pivotField axis="axisRow" showAll="0">
      <items count="8">
        <item x="4"/>
        <item x="1"/>
        <item x="6"/>
        <item x="0"/>
        <item x="3"/>
        <item x="5"/>
        <item x="2"/>
        <item t="default"/>
      </items>
    </pivotField>
    <pivotField showAll="0"/>
    <pivotField numFmtId="165" showAll="0"/>
    <pivotField showAll="0"/>
    <pivotField showAll="0">
      <items count="8">
        <item x="1"/>
        <item x="4"/>
        <item x="3"/>
        <item x="0"/>
        <item x="5"/>
        <item x="6"/>
        <item x="2"/>
        <item t="default"/>
      </items>
    </pivotField>
    <pivotField showAll="0">
      <items count="9">
        <item x="3"/>
        <item x="1"/>
        <item x="0"/>
        <item x="4"/>
        <item x="6"/>
        <item x="7"/>
        <item x="2"/>
        <item x="5"/>
        <item t="default"/>
      </items>
    </pivotField>
    <pivotField showAll="0"/>
    <pivotField showAll="0">
      <items count="7">
        <item x="2"/>
        <item x="0"/>
        <item x="1"/>
        <item x="4"/>
        <item x="5"/>
        <item x="3"/>
        <item t="default"/>
      </items>
    </pivotField>
    <pivotField showAll="0"/>
    <pivotField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i>
    <i>
      <x v="1"/>
    </i>
    <i>
      <x v="2"/>
    </i>
    <i>
      <x v="3"/>
    </i>
    <i>
      <x v="4"/>
    </i>
    <i>
      <x v="5"/>
    </i>
    <i>
      <x v="6"/>
    </i>
    <i t="grand">
      <x/>
    </i>
  </rowItems>
  <colItems count="1">
    <i/>
  </colItems>
  <dataFields count="1">
    <dataField name="Sum of Final_Payable_Amount" fld="14" baseField="0" baseItem="0"/>
  </dataField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947BEB-5D38-4689-B7E2-F800FC0CEFA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C9" firstHeaderRow="0" firstDataRow="1" firstDataCol="1"/>
  <pivotFields count="21">
    <pivotField showAll="0"/>
    <pivotField numFmtId="164" showAll="0">
      <items count="22">
        <item x="14"/>
        <item x="7"/>
        <item x="13"/>
        <item x="17"/>
        <item x="16"/>
        <item x="1"/>
        <item x="18"/>
        <item x="0"/>
        <item x="8"/>
        <item x="15"/>
        <item x="3"/>
        <item x="2"/>
        <item x="19"/>
        <item x="11"/>
        <item x="20"/>
        <item x="9"/>
        <item x="12"/>
        <item x="10"/>
        <item x="5"/>
        <item x="6"/>
        <item x="4"/>
        <item t="default"/>
      </items>
    </pivotField>
    <pivotField showAll="0"/>
    <pivotField showAll="0"/>
    <pivotField numFmtId="165" showAll="0"/>
    <pivotField showAll="0"/>
    <pivotField axis="axisRow" showAll="0">
      <items count="8">
        <item x="1"/>
        <item x="4"/>
        <item x="3"/>
        <item x="0"/>
        <item x="5"/>
        <item x="6"/>
        <item x="2"/>
        <item t="default"/>
      </items>
    </pivotField>
    <pivotField showAll="0">
      <items count="9">
        <item x="3"/>
        <item x="1"/>
        <item x="0"/>
        <item x="4"/>
        <item x="6"/>
        <item x="7"/>
        <item x="2"/>
        <item x="5"/>
        <item t="default"/>
      </items>
    </pivotField>
    <pivotField showAll="0"/>
    <pivotField dataField="1" showAll="0">
      <items count="7">
        <item x="2"/>
        <item x="0"/>
        <item x="1"/>
        <item x="4"/>
        <item x="5"/>
        <item x="3"/>
        <item t="default"/>
      </items>
    </pivotField>
    <pivotField dataField="1"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8">
    <i>
      <x/>
    </i>
    <i>
      <x v="1"/>
    </i>
    <i>
      <x v="2"/>
    </i>
    <i>
      <x v="3"/>
    </i>
    <i>
      <x v="4"/>
    </i>
    <i>
      <x v="5"/>
    </i>
    <i>
      <x v="6"/>
    </i>
    <i t="grand">
      <x/>
    </i>
  </rowItems>
  <colFields count="1">
    <field x="-2"/>
  </colFields>
  <colItems count="2">
    <i>
      <x/>
    </i>
    <i i="1">
      <x v="1"/>
    </i>
  </colItems>
  <dataFields count="2">
    <dataField name="Count of Category" fld="9" subtotal="count" baseField="0" baseItem="0"/>
    <dataField name="Sum of Quantity"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3B43F3-5E37-4614-AAB0-BECAF33B327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B12" firstHeaderRow="1" firstDataRow="1" firstDataCol="1"/>
  <pivotFields count="21">
    <pivotField showAll="0"/>
    <pivotField numFmtId="164" showAll="0">
      <items count="22">
        <item x="14"/>
        <item x="7"/>
        <item x="13"/>
        <item x="17"/>
        <item x="16"/>
        <item x="1"/>
        <item x="18"/>
        <item x="0"/>
        <item x="8"/>
        <item x="15"/>
        <item x="3"/>
        <item x="2"/>
        <item x="19"/>
        <item x="11"/>
        <item x="20"/>
        <item x="9"/>
        <item x="12"/>
        <item x="10"/>
        <item x="5"/>
        <item x="6"/>
        <item x="4"/>
        <item t="default"/>
      </items>
    </pivotField>
    <pivotField showAll="0"/>
    <pivotField showAll="0">
      <items count="3">
        <item x="0"/>
        <item x="1"/>
        <item t="default"/>
      </items>
    </pivotField>
    <pivotField numFmtId="165" showAll="0"/>
    <pivotField showAll="0"/>
    <pivotField showAll="0">
      <items count="8">
        <item x="1"/>
        <item x="4"/>
        <item x="3"/>
        <item x="0"/>
        <item x="5"/>
        <item x="6"/>
        <item x="2"/>
        <item t="default"/>
      </items>
    </pivotField>
    <pivotField showAll="0">
      <items count="9">
        <item x="3"/>
        <item x="1"/>
        <item x="0"/>
        <item x="4"/>
        <item x="6"/>
        <item x="7"/>
        <item x="2"/>
        <item x="5"/>
        <item t="default"/>
      </items>
    </pivotField>
    <pivotField axis="axisRow" showAll="0">
      <items count="10">
        <item x="4"/>
        <item x="1"/>
        <item x="3"/>
        <item x="8"/>
        <item x="0"/>
        <item x="2"/>
        <item x="5"/>
        <item x="6"/>
        <item x="7"/>
        <item t="default"/>
      </items>
    </pivotField>
    <pivotField showAll="0">
      <items count="7">
        <item x="2"/>
        <item x="0"/>
        <item x="1"/>
        <item x="4"/>
        <item x="5"/>
        <item x="3"/>
        <item t="default"/>
      </items>
    </pivotField>
    <pivotField showAll="0"/>
    <pivotField showAll="0"/>
    <pivotField showAll="0"/>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9">
    <i>
      <x/>
    </i>
    <i>
      <x v="1"/>
    </i>
    <i>
      <x v="2"/>
    </i>
    <i>
      <x v="3"/>
    </i>
    <i>
      <x v="4"/>
    </i>
    <i>
      <x v="5"/>
    </i>
    <i>
      <x v="6"/>
    </i>
    <i>
      <x v="7"/>
    </i>
    <i>
      <x v="8"/>
    </i>
  </rowItems>
  <colItems count="1">
    <i/>
  </colItems>
  <dataFields count="1">
    <dataField name="Sum of Final_Payable_Amount" fld="14" baseField="0" baseItem="0"/>
  </dataFields>
  <chartFormats count="2">
    <chartFormat chart="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50305A2-621E-4073-A94B-F4D3B08179F5}" sourceName="city">
  <pivotTables>
    <pivotTable tabId="10" name="PivotTable5"/>
    <pivotTable tabId="9" name="PivotTable4"/>
    <pivotTable tabId="5" name="PivotTable2"/>
    <pivotTable tabId="13" name="PivotTable7"/>
    <pivotTable tabId="7" name="PivotTable3"/>
  </pivotTables>
  <data>
    <tabular pivotCacheId="1642017284">
      <items count="7">
        <i x="1" s="1"/>
        <i x="4" s="1"/>
        <i x="3" s="1"/>
        <i x="0" s="1"/>
        <i x="5"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8DF73F4E-8024-4C88-8539-A0ACC094671D}" sourceName="Area">
  <pivotTables>
    <pivotTable tabId="10" name="PivotTable5"/>
    <pivotTable tabId="9" name="PivotTable4"/>
    <pivotTable tabId="5" name="PivotTable2"/>
    <pivotTable tabId="13" name="PivotTable7"/>
    <pivotTable tabId="7" name="PivotTable3"/>
  </pivotTables>
  <data>
    <tabular pivotCacheId="1642017284">
      <items count="8">
        <i x="3" s="1"/>
        <i x="1" s="1"/>
        <i x="0" s="1"/>
        <i x="4" s="1"/>
        <i x="6" s="1"/>
        <i x="7"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B5E8DBC-F99C-4ECA-8F80-082AA83AC2B2}" sourceName="Category">
  <pivotTables>
    <pivotTable tabId="10" name="PivotTable5"/>
    <pivotTable tabId="9" name="PivotTable4"/>
    <pivotTable tabId="5" name="PivotTable2"/>
    <pivotTable tabId="13" name="PivotTable7"/>
    <pivotTable tabId="7" name="PivotTable3"/>
  </pivotTables>
  <data>
    <tabular pivotCacheId="1642017284">
      <items count="6">
        <i x="2" s="1"/>
        <i x="0" s="1"/>
        <i x="1" s="1"/>
        <i x="4" s="1"/>
        <i x="5"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C77AF980-2CC8-40A9-B842-0FDE3B98DA60}" sourceName="Months (Order date)">
  <pivotTables>
    <pivotTable tabId="10" name="PivotTable5"/>
    <pivotTable tabId="9" name="PivotTable4"/>
    <pivotTable tabId="5" name="PivotTable2"/>
    <pivotTable tabId="13" name="PivotTable7"/>
    <pivotTable tabId="7" name="PivotTable3"/>
  </pivotTables>
  <data>
    <tabular pivotCacheId="1642017284">
      <items count="14">
        <i x="1" s="1"/>
        <i x="2" s="1"/>
        <i x="3" s="1"/>
        <i x="4" s="1"/>
        <i x="5" s="1"/>
        <i x="6" s="1"/>
        <i x="7" s="1"/>
        <i x="8" s="1"/>
        <i x="9" s="1"/>
        <i x="10" s="1"/>
        <i x="11" s="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86B74B1-F3B8-45CF-BF14-DD771B84ECC2}" cache="Slicer_city" caption="city" style="SlicerStyleDark3" rowHeight="234950"/>
  <slicer name="Area" xr10:uid="{19547E6B-4B44-4E46-B99B-9D29313D66FD}" cache="Slicer_Area" caption="Area" style="SlicerStyleDark3" rowHeight="234950"/>
  <slicer name="Category" xr10:uid="{8F52D29F-6C5A-48A7-A89C-C4C5E18A7570}" cache="Slicer_Category" caption="Category" style="SlicerStyleDark3" rowHeight="234950"/>
  <slicer name="Months (Order date)" xr10:uid="{D9739ED2-2D59-47A6-B083-84C02CB1C462}" cache="Slicer_Months__Order_date" caption="Months (Order date)" style="SlicerStyleDark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02"/>
  <sheetViews>
    <sheetView zoomScale="74" workbookViewId="0">
      <selection activeCell="P1" sqref="P1"/>
    </sheetView>
  </sheetViews>
  <sheetFormatPr defaultRowHeight="14.4" x14ac:dyDescent="0.3"/>
  <cols>
    <col min="1" max="1" width="13.88671875" bestFit="1" customWidth="1"/>
    <col min="2" max="3" width="13.88671875" customWidth="1"/>
    <col min="4" max="4" width="18.6640625" bestFit="1" customWidth="1"/>
    <col min="5" max="5" width="10.6640625" bestFit="1" customWidth="1"/>
    <col min="6" max="6" width="11.6640625" bestFit="1" customWidth="1"/>
    <col min="7" max="7" width="9.77734375" bestFit="1" customWidth="1"/>
    <col min="8" max="8" width="10" bestFit="1" customWidth="1"/>
    <col min="9" max="9" width="13.33203125" bestFit="1" customWidth="1"/>
    <col min="10" max="10" width="9.88671875" bestFit="1" customWidth="1"/>
    <col min="11" max="11" width="10.44140625" customWidth="1"/>
    <col min="12" max="12" width="13.21875" bestFit="1" customWidth="1"/>
    <col min="13" max="13" width="18.33203125" bestFit="1" customWidth="1"/>
    <col min="14" max="14" width="15.21875" bestFit="1" customWidth="1"/>
    <col min="15" max="15" width="19.77734375" bestFit="1" customWidth="1"/>
    <col min="16" max="16" width="17.21875" bestFit="1" customWidth="1"/>
    <col min="17" max="17" width="23.77734375" bestFit="1" customWidth="1"/>
    <col min="18" max="18" width="16.88671875" bestFit="1" customWidth="1"/>
    <col min="19" max="19" width="18.33203125" bestFit="1" customWidth="1"/>
  </cols>
  <sheetData>
    <row r="1" spans="1:19" x14ac:dyDescent="0.3">
      <c r="A1" s="1" t="s">
        <v>0</v>
      </c>
      <c r="B1" s="1" t="s">
        <v>1050</v>
      </c>
      <c r="C1" s="1" t="s">
        <v>1051</v>
      </c>
      <c r="D1" s="1" t="s">
        <v>1052</v>
      </c>
      <c r="E1" s="3" t="s">
        <v>1</v>
      </c>
      <c r="F1" s="1" t="s">
        <v>2</v>
      </c>
      <c r="G1" s="1" t="s">
        <v>1053</v>
      </c>
      <c r="H1" s="1" t="s">
        <v>3</v>
      </c>
      <c r="I1" s="1" t="s">
        <v>4</v>
      </c>
      <c r="J1" s="1" t="s">
        <v>5</v>
      </c>
      <c r="K1" s="1" t="s">
        <v>6</v>
      </c>
      <c r="L1" s="1" t="s">
        <v>7</v>
      </c>
      <c r="M1" s="1" t="s">
        <v>8</v>
      </c>
      <c r="N1" s="1" t="s">
        <v>9</v>
      </c>
      <c r="O1" s="1" t="s">
        <v>10</v>
      </c>
      <c r="P1" s="1" t="s">
        <v>11</v>
      </c>
      <c r="Q1" s="1" t="s">
        <v>12</v>
      </c>
      <c r="R1" s="1" t="s">
        <v>13</v>
      </c>
      <c r="S1" s="1" t="s">
        <v>14</v>
      </c>
    </row>
    <row r="2" spans="1:19" x14ac:dyDescent="0.3">
      <c r="A2" s="1" t="s">
        <v>1069</v>
      </c>
      <c r="B2" s="2">
        <v>45665</v>
      </c>
      <c r="C2" s="1" t="str">
        <f t="shared" ref="C2:C65" si="0">TEXT(B2,"DDD")</f>
        <v>Wed</v>
      </c>
      <c r="D2" s="1" t="str">
        <f>IF(OR(C2="Sat",C2="Sun"),"Weekend","Weekday")</f>
        <v>Weekday</v>
      </c>
      <c r="E2" s="3">
        <v>0.76041666666666663</v>
      </c>
      <c r="F2" s="1" t="s">
        <v>15</v>
      </c>
      <c r="G2" s="1" t="s">
        <v>48</v>
      </c>
      <c r="H2" s="1" t="s">
        <v>16</v>
      </c>
      <c r="I2" s="1" t="s">
        <v>17</v>
      </c>
      <c r="J2" s="1" t="s">
        <v>18</v>
      </c>
      <c r="K2" s="1">
        <v>1</v>
      </c>
      <c r="L2" s="1">
        <v>108</v>
      </c>
      <c r="M2" s="1">
        <v>108</v>
      </c>
      <c r="N2" s="1">
        <v>10</v>
      </c>
      <c r="O2" s="1">
        <v>98</v>
      </c>
      <c r="P2" s="1" t="s">
        <v>19</v>
      </c>
      <c r="Q2" s="1">
        <v>16</v>
      </c>
      <c r="R2" s="1" t="s">
        <v>20</v>
      </c>
      <c r="S2" s="1">
        <v>2</v>
      </c>
    </row>
    <row r="3" spans="1:19" x14ac:dyDescent="0.3">
      <c r="A3" s="1" t="s">
        <v>21</v>
      </c>
      <c r="B3" s="2">
        <v>45663</v>
      </c>
      <c r="C3" s="1" t="str">
        <f t="shared" si="0"/>
        <v>Mon</v>
      </c>
      <c r="D3" s="1" t="str">
        <f t="shared" ref="D3:D66" si="1">IF(OR(C3="Sat",C3="Sun"),"Weekend","Weekday")</f>
        <v>Weekday</v>
      </c>
      <c r="E3" s="3">
        <v>0.37847222222222221</v>
      </c>
      <c r="F3" s="1" t="s">
        <v>22</v>
      </c>
      <c r="G3" s="1" t="s">
        <v>28</v>
      </c>
      <c r="H3" s="1" t="s">
        <v>23</v>
      </c>
      <c r="I3" s="1" t="s">
        <v>24</v>
      </c>
      <c r="J3" s="1" t="s">
        <v>25</v>
      </c>
      <c r="K3" s="1">
        <v>6</v>
      </c>
      <c r="L3" s="1">
        <v>22</v>
      </c>
      <c r="M3" s="1">
        <v>132</v>
      </c>
      <c r="N3" s="1">
        <v>0</v>
      </c>
      <c r="O3" s="1">
        <v>132</v>
      </c>
      <c r="P3" s="1" t="s">
        <v>1048</v>
      </c>
      <c r="Q3" s="1">
        <v>37</v>
      </c>
      <c r="R3" s="1" t="s">
        <v>20</v>
      </c>
      <c r="S3" s="1">
        <v>4</v>
      </c>
    </row>
    <row r="4" spans="1:19" x14ac:dyDescent="0.3">
      <c r="A4" s="1" t="s">
        <v>26</v>
      </c>
      <c r="B4" s="2">
        <v>45689</v>
      </c>
      <c r="C4" s="1" t="str">
        <f t="shared" si="0"/>
        <v>Sat</v>
      </c>
      <c r="D4" s="1" t="str">
        <f t="shared" si="1"/>
        <v>Weekend</v>
      </c>
      <c r="E4" s="3">
        <v>0.76041666666666663</v>
      </c>
      <c r="F4" s="1" t="s">
        <v>27</v>
      </c>
      <c r="G4" s="1" t="s">
        <v>34</v>
      </c>
      <c r="H4" s="1" t="s">
        <v>29</v>
      </c>
      <c r="I4" s="1" t="s">
        <v>30</v>
      </c>
      <c r="J4" s="1" t="s">
        <v>18</v>
      </c>
      <c r="K4" s="1">
        <v>6</v>
      </c>
      <c r="L4" s="1">
        <v>77</v>
      </c>
      <c r="M4" s="1">
        <v>462</v>
      </c>
      <c r="N4" s="1">
        <v>10</v>
      </c>
      <c r="O4" s="1">
        <v>452</v>
      </c>
      <c r="P4" s="1" t="s">
        <v>1049</v>
      </c>
      <c r="Q4" s="1">
        <v>23</v>
      </c>
      <c r="R4" s="1" t="s">
        <v>31</v>
      </c>
      <c r="S4" s="1"/>
    </row>
    <row r="5" spans="1:19" x14ac:dyDescent="0.3">
      <c r="A5" s="1" t="s">
        <v>32</v>
      </c>
      <c r="B5" s="2">
        <v>45668</v>
      </c>
      <c r="C5" s="1" t="str">
        <f t="shared" si="0"/>
        <v>Sat</v>
      </c>
      <c r="D5" s="1" t="str">
        <f t="shared" si="1"/>
        <v>Weekend</v>
      </c>
      <c r="E5" s="3">
        <v>0.76041666666666663</v>
      </c>
      <c r="F5" s="1" t="s">
        <v>33</v>
      </c>
      <c r="G5" s="1" t="s">
        <v>48</v>
      </c>
      <c r="H5" s="1" t="s">
        <v>35</v>
      </c>
      <c r="I5" s="1" t="s">
        <v>36</v>
      </c>
      <c r="J5" s="1" t="s">
        <v>37</v>
      </c>
      <c r="K5" s="1">
        <v>5</v>
      </c>
      <c r="L5" s="1">
        <v>68</v>
      </c>
      <c r="M5" s="1">
        <v>340</v>
      </c>
      <c r="N5" s="1">
        <v>10</v>
      </c>
      <c r="O5" s="1">
        <v>330</v>
      </c>
      <c r="P5" s="1" t="s">
        <v>38</v>
      </c>
      <c r="Q5" s="1">
        <v>37</v>
      </c>
      <c r="R5" s="1" t="s">
        <v>20</v>
      </c>
      <c r="S5" s="1">
        <v>2</v>
      </c>
    </row>
    <row r="6" spans="1:19" x14ac:dyDescent="0.3">
      <c r="A6" s="1" t="s">
        <v>39</v>
      </c>
      <c r="B6" s="2">
        <v>45962</v>
      </c>
      <c r="C6" s="1" t="str">
        <f t="shared" si="0"/>
        <v>Sat</v>
      </c>
      <c r="D6" s="1" t="str">
        <f t="shared" si="1"/>
        <v>Weekend</v>
      </c>
      <c r="E6" s="3">
        <v>0.78125</v>
      </c>
      <c r="F6" s="1" t="s">
        <v>40</v>
      </c>
      <c r="G6" s="1" t="s">
        <v>45</v>
      </c>
      <c r="H6" s="1" t="s">
        <v>41</v>
      </c>
      <c r="I6" s="1" t="s">
        <v>42</v>
      </c>
      <c r="J6" s="1" t="s">
        <v>25</v>
      </c>
      <c r="K6" s="1">
        <v>4</v>
      </c>
      <c r="L6" s="1">
        <v>28</v>
      </c>
      <c r="M6" s="1">
        <v>112</v>
      </c>
      <c r="N6" s="1">
        <v>0</v>
      </c>
      <c r="O6" s="1">
        <v>112</v>
      </c>
      <c r="P6" s="1" t="s">
        <v>38</v>
      </c>
      <c r="Q6" s="1">
        <v>26</v>
      </c>
      <c r="R6" s="1" t="s">
        <v>20</v>
      </c>
      <c r="S6" s="1">
        <v>3</v>
      </c>
    </row>
    <row r="7" spans="1:19" x14ac:dyDescent="0.3">
      <c r="A7" s="1" t="s">
        <v>43</v>
      </c>
      <c r="B7" s="2">
        <v>45901</v>
      </c>
      <c r="C7" s="1" t="str">
        <f t="shared" si="0"/>
        <v>Mon</v>
      </c>
      <c r="D7" s="1" t="str">
        <f t="shared" si="1"/>
        <v>Weekday</v>
      </c>
      <c r="E7" s="3">
        <v>0.78125</v>
      </c>
      <c r="F7" s="1" t="s">
        <v>44</v>
      </c>
      <c r="G7" s="1" t="s">
        <v>48</v>
      </c>
      <c r="H7" s="1" t="s">
        <v>35</v>
      </c>
      <c r="I7" s="1" t="s">
        <v>30</v>
      </c>
      <c r="J7" s="1" t="s">
        <v>18</v>
      </c>
      <c r="K7" s="1">
        <v>5</v>
      </c>
      <c r="L7" s="1">
        <v>107</v>
      </c>
      <c r="M7" s="1">
        <v>535</v>
      </c>
      <c r="N7" s="1">
        <v>0</v>
      </c>
      <c r="O7" s="1">
        <v>535</v>
      </c>
      <c r="P7" s="1" t="s">
        <v>19</v>
      </c>
      <c r="Q7" s="1">
        <v>31</v>
      </c>
      <c r="R7" s="1" t="s">
        <v>20</v>
      </c>
      <c r="S7" s="1">
        <v>2</v>
      </c>
    </row>
    <row r="8" spans="1:19" x14ac:dyDescent="0.3">
      <c r="A8" s="1" t="s">
        <v>46</v>
      </c>
      <c r="B8" s="2">
        <v>45663</v>
      </c>
      <c r="C8" s="1" t="str">
        <f t="shared" si="0"/>
        <v>Mon</v>
      </c>
      <c r="D8" s="1" t="str">
        <f t="shared" si="1"/>
        <v>Weekday</v>
      </c>
      <c r="E8" s="3">
        <v>0.78125</v>
      </c>
      <c r="F8" s="1" t="s">
        <v>47</v>
      </c>
      <c r="G8" s="1" t="s">
        <v>48</v>
      </c>
      <c r="H8" s="1" t="s">
        <v>35</v>
      </c>
      <c r="I8" s="1" t="s">
        <v>42</v>
      </c>
      <c r="J8" s="1" t="s">
        <v>25</v>
      </c>
      <c r="K8" s="1">
        <v>2</v>
      </c>
      <c r="L8" s="1">
        <v>26</v>
      </c>
      <c r="M8" s="1">
        <v>52</v>
      </c>
      <c r="N8" s="1">
        <v>0</v>
      </c>
      <c r="O8" s="1">
        <v>52</v>
      </c>
      <c r="P8" s="1" t="s">
        <v>1049</v>
      </c>
      <c r="Q8" s="1">
        <v>44</v>
      </c>
      <c r="R8" s="1" t="s">
        <v>31</v>
      </c>
      <c r="S8" s="1">
        <v>3</v>
      </c>
    </row>
    <row r="9" spans="1:19" x14ac:dyDescent="0.3">
      <c r="A9" s="1" t="s">
        <v>49</v>
      </c>
      <c r="B9" s="2">
        <v>45689</v>
      </c>
      <c r="C9" s="1" t="str">
        <f t="shared" si="0"/>
        <v>Sat</v>
      </c>
      <c r="D9" s="1" t="str">
        <f t="shared" si="1"/>
        <v>Weekend</v>
      </c>
      <c r="E9" s="3">
        <v>0.76041666666666663</v>
      </c>
      <c r="F9" s="1" t="s">
        <v>50</v>
      </c>
      <c r="G9" s="1" t="s">
        <v>54</v>
      </c>
      <c r="H9" s="1" t="s">
        <v>41</v>
      </c>
      <c r="I9" s="1" t="s">
        <v>51</v>
      </c>
      <c r="J9" s="1" t="s">
        <v>18</v>
      </c>
      <c r="K9" s="1">
        <v>1</v>
      </c>
      <c r="L9" s="1">
        <v>15</v>
      </c>
      <c r="M9" s="1">
        <v>15</v>
      </c>
      <c r="N9" s="1">
        <v>0</v>
      </c>
      <c r="O9" s="1">
        <v>15</v>
      </c>
      <c r="P9" s="1" t="s">
        <v>19</v>
      </c>
      <c r="Q9" s="1">
        <v>52</v>
      </c>
      <c r="R9" s="1" t="s">
        <v>20</v>
      </c>
      <c r="S9" s="1">
        <v>2</v>
      </c>
    </row>
    <row r="10" spans="1:19" x14ac:dyDescent="0.3">
      <c r="A10" s="1" t="s">
        <v>52</v>
      </c>
      <c r="B10" s="2">
        <v>45931</v>
      </c>
      <c r="C10" s="1" t="str">
        <f t="shared" si="0"/>
        <v>Wed</v>
      </c>
      <c r="D10" s="1" t="str">
        <f t="shared" si="1"/>
        <v>Weekday</v>
      </c>
      <c r="E10" s="3">
        <v>0.4375</v>
      </c>
      <c r="F10" s="1" t="s">
        <v>53</v>
      </c>
      <c r="G10" s="1" t="s">
        <v>28</v>
      </c>
      <c r="H10" s="1" t="s">
        <v>55</v>
      </c>
      <c r="I10" s="1" t="s">
        <v>24</v>
      </c>
      <c r="J10" s="1" t="s">
        <v>25</v>
      </c>
      <c r="K10" s="1">
        <v>5</v>
      </c>
      <c r="L10" s="1">
        <v>98</v>
      </c>
      <c r="M10" s="1">
        <v>490</v>
      </c>
      <c r="N10" s="1">
        <v>10</v>
      </c>
      <c r="O10" s="1">
        <v>480</v>
      </c>
      <c r="P10" s="1" t="s">
        <v>1048</v>
      </c>
      <c r="Q10" s="1">
        <v>52</v>
      </c>
      <c r="R10" s="1" t="s">
        <v>31</v>
      </c>
      <c r="S10" s="1">
        <v>5</v>
      </c>
    </row>
    <row r="11" spans="1:19" x14ac:dyDescent="0.3">
      <c r="A11" s="1" t="s">
        <v>56</v>
      </c>
      <c r="B11" s="2">
        <v>45659</v>
      </c>
      <c r="C11" s="1" t="str">
        <f t="shared" si="0"/>
        <v>Thu</v>
      </c>
      <c r="D11" s="1" t="str">
        <f t="shared" si="1"/>
        <v>Weekday</v>
      </c>
      <c r="E11" s="3">
        <v>0.76041666666666663</v>
      </c>
      <c r="F11" s="1" t="s">
        <v>57</v>
      </c>
      <c r="G11" s="1" t="s">
        <v>48</v>
      </c>
      <c r="H11" s="1" t="s">
        <v>41</v>
      </c>
      <c r="I11" s="1" t="s">
        <v>30</v>
      </c>
      <c r="J11" s="1" t="s">
        <v>18</v>
      </c>
      <c r="K11" s="1">
        <v>4</v>
      </c>
      <c r="L11" s="1">
        <v>17</v>
      </c>
      <c r="M11" s="1">
        <v>68</v>
      </c>
      <c r="N11" s="1">
        <v>0</v>
      </c>
      <c r="O11" s="1">
        <v>68</v>
      </c>
      <c r="P11" s="1" t="s">
        <v>1048</v>
      </c>
      <c r="Q11" s="1">
        <v>54</v>
      </c>
      <c r="R11" s="1" t="s">
        <v>20</v>
      </c>
      <c r="S11" s="1">
        <v>4</v>
      </c>
    </row>
    <row r="12" spans="1:19" x14ac:dyDescent="0.3">
      <c r="A12" s="1" t="s">
        <v>58</v>
      </c>
      <c r="B12" s="2">
        <v>45666</v>
      </c>
      <c r="C12" s="1" t="str">
        <f t="shared" si="0"/>
        <v>Thu</v>
      </c>
      <c r="D12" s="1" t="str">
        <f t="shared" si="1"/>
        <v>Weekday</v>
      </c>
      <c r="E12" s="3">
        <v>0.76041666666666663</v>
      </c>
      <c r="F12" s="1" t="s">
        <v>59</v>
      </c>
      <c r="G12" s="1" t="s">
        <v>48</v>
      </c>
      <c r="H12" s="1" t="s">
        <v>55</v>
      </c>
      <c r="I12" s="1" t="s">
        <v>36</v>
      </c>
      <c r="J12" s="1" t="s">
        <v>37</v>
      </c>
      <c r="K12" s="1">
        <v>6</v>
      </c>
      <c r="L12" s="1">
        <v>107</v>
      </c>
      <c r="M12" s="1">
        <v>642</v>
      </c>
      <c r="N12" s="1">
        <v>0</v>
      </c>
      <c r="O12" s="1">
        <v>642</v>
      </c>
      <c r="P12" s="1" t="s">
        <v>1048</v>
      </c>
      <c r="Q12" s="1">
        <v>14</v>
      </c>
      <c r="R12" s="1" t="s">
        <v>20</v>
      </c>
      <c r="S12" s="1">
        <v>3</v>
      </c>
    </row>
    <row r="13" spans="1:19" x14ac:dyDescent="0.3">
      <c r="A13" s="1" t="s">
        <v>60</v>
      </c>
      <c r="B13" s="2">
        <v>45901</v>
      </c>
      <c r="C13" s="1" t="str">
        <f t="shared" si="0"/>
        <v>Mon</v>
      </c>
      <c r="D13" s="1" t="str">
        <f t="shared" si="1"/>
        <v>Weekday</v>
      </c>
      <c r="E13" s="3">
        <v>0.4375</v>
      </c>
      <c r="F13" s="1" t="s">
        <v>61</v>
      </c>
      <c r="G13" s="1" t="s">
        <v>28</v>
      </c>
      <c r="H13" s="1" t="s">
        <v>23</v>
      </c>
      <c r="I13" s="1" t="s">
        <v>51</v>
      </c>
      <c r="J13" s="1" t="s">
        <v>18</v>
      </c>
      <c r="K13" s="1">
        <v>5</v>
      </c>
      <c r="L13" s="1">
        <v>53</v>
      </c>
      <c r="M13" s="1">
        <v>265</v>
      </c>
      <c r="N13" s="1">
        <v>10</v>
      </c>
      <c r="O13" s="1">
        <v>255</v>
      </c>
      <c r="P13" s="1" t="s">
        <v>1049</v>
      </c>
      <c r="Q13" s="1">
        <v>29</v>
      </c>
      <c r="R13" s="1" t="s">
        <v>31</v>
      </c>
      <c r="S13" s="1">
        <v>1</v>
      </c>
    </row>
    <row r="14" spans="1:19" x14ac:dyDescent="0.3">
      <c r="A14" s="1" t="s">
        <v>62</v>
      </c>
      <c r="B14" s="2">
        <v>45809</v>
      </c>
      <c r="C14" s="1" t="str">
        <f t="shared" si="0"/>
        <v>Sun</v>
      </c>
      <c r="D14" s="1" t="str">
        <f t="shared" si="1"/>
        <v>Weekend</v>
      </c>
      <c r="E14" s="3">
        <v>0.76041666666666663</v>
      </c>
      <c r="F14" s="1" t="s">
        <v>63</v>
      </c>
      <c r="G14" s="1" t="s">
        <v>48</v>
      </c>
      <c r="H14" s="1" t="s">
        <v>64</v>
      </c>
      <c r="I14" s="1" t="s">
        <v>36</v>
      </c>
      <c r="J14" s="1" t="s">
        <v>37</v>
      </c>
      <c r="K14" s="1">
        <v>5</v>
      </c>
      <c r="L14" s="1">
        <v>116</v>
      </c>
      <c r="M14" s="1">
        <v>580</v>
      </c>
      <c r="N14" s="1">
        <v>0</v>
      </c>
      <c r="O14" s="1">
        <v>580</v>
      </c>
      <c r="P14" s="1" t="s">
        <v>1048</v>
      </c>
      <c r="Q14" s="1">
        <v>39</v>
      </c>
      <c r="R14" s="1" t="s">
        <v>20</v>
      </c>
      <c r="S14" s="1"/>
    </row>
    <row r="15" spans="1:19" x14ac:dyDescent="0.3">
      <c r="A15" s="1" t="s">
        <v>65</v>
      </c>
      <c r="B15" s="2">
        <v>45870</v>
      </c>
      <c r="C15" s="1" t="str">
        <f t="shared" si="0"/>
        <v>Fri</v>
      </c>
      <c r="D15" s="1" t="str">
        <f t="shared" si="1"/>
        <v>Weekday</v>
      </c>
      <c r="E15" s="3">
        <v>0.76041666666666663</v>
      </c>
      <c r="F15" s="1" t="s">
        <v>66</v>
      </c>
      <c r="G15" s="1" t="s">
        <v>28</v>
      </c>
      <c r="H15" s="1" t="s">
        <v>23</v>
      </c>
      <c r="I15" s="1" t="s">
        <v>17</v>
      </c>
      <c r="J15" s="1" t="s">
        <v>18</v>
      </c>
      <c r="K15" s="1">
        <v>5</v>
      </c>
      <c r="L15" s="1">
        <v>65</v>
      </c>
      <c r="M15" s="1">
        <v>325</v>
      </c>
      <c r="N15" s="1">
        <v>10</v>
      </c>
      <c r="O15" s="1">
        <v>315</v>
      </c>
      <c r="P15" s="1" t="s">
        <v>19</v>
      </c>
      <c r="Q15" s="1">
        <v>36</v>
      </c>
      <c r="R15" s="1" t="s">
        <v>31</v>
      </c>
      <c r="S15" s="1">
        <v>5</v>
      </c>
    </row>
    <row r="16" spans="1:19" x14ac:dyDescent="0.3">
      <c r="A16" s="1" t="s">
        <v>67</v>
      </c>
      <c r="B16" s="2">
        <v>45748</v>
      </c>
      <c r="C16" s="1" t="str">
        <f t="shared" si="0"/>
        <v>Tue</v>
      </c>
      <c r="D16" s="1" t="str">
        <f t="shared" si="1"/>
        <v>Weekday</v>
      </c>
      <c r="E16" s="3">
        <v>0.78125</v>
      </c>
      <c r="F16" s="1" t="s">
        <v>68</v>
      </c>
      <c r="G16" s="1" t="s">
        <v>28</v>
      </c>
      <c r="H16" s="1" t="s">
        <v>23</v>
      </c>
      <c r="I16" s="1" t="s">
        <v>30</v>
      </c>
      <c r="J16" s="1" t="s">
        <v>18</v>
      </c>
      <c r="K16" s="1">
        <v>2</v>
      </c>
      <c r="L16" s="1">
        <v>40</v>
      </c>
      <c r="M16" s="1">
        <v>80</v>
      </c>
      <c r="N16" s="1">
        <v>10</v>
      </c>
      <c r="O16" s="1">
        <v>70</v>
      </c>
      <c r="P16" s="1" t="s">
        <v>19</v>
      </c>
      <c r="Q16" s="1">
        <v>46</v>
      </c>
      <c r="R16" s="1" t="s">
        <v>20</v>
      </c>
      <c r="S16" s="1">
        <v>5</v>
      </c>
    </row>
    <row r="17" spans="1:19" x14ac:dyDescent="0.3">
      <c r="A17" s="1" t="s">
        <v>69</v>
      </c>
      <c r="B17" s="2">
        <v>45809</v>
      </c>
      <c r="C17" s="1" t="str">
        <f t="shared" si="0"/>
        <v>Sun</v>
      </c>
      <c r="D17" s="1" t="str">
        <f t="shared" si="1"/>
        <v>Weekend</v>
      </c>
      <c r="E17" s="3">
        <v>0.37847222222222221</v>
      </c>
      <c r="F17" s="1" t="s">
        <v>70</v>
      </c>
      <c r="G17" s="1" t="s">
        <v>34</v>
      </c>
      <c r="H17" s="1" t="s">
        <v>29</v>
      </c>
      <c r="I17" s="1" t="s">
        <v>36</v>
      </c>
      <c r="J17" s="1" t="s">
        <v>37</v>
      </c>
      <c r="K17" s="1">
        <v>6</v>
      </c>
      <c r="L17" s="1">
        <v>14</v>
      </c>
      <c r="M17" s="1">
        <v>84</v>
      </c>
      <c r="N17" s="1">
        <v>5</v>
      </c>
      <c r="O17" s="1">
        <v>79</v>
      </c>
      <c r="P17" s="1" t="s">
        <v>1049</v>
      </c>
      <c r="Q17" s="1">
        <v>38</v>
      </c>
      <c r="R17" s="1" t="s">
        <v>20</v>
      </c>
      <c r="S17" s="1"/>
    </row>
    <row r="18" spans="1:19" x14ac:dyDescent="0.3">
      <c r="A18" s="1" t="s">
        <v>71</v>
      </c>
      <c r="B18" s="2">
        <v>45748</v>
      </c>
      <c r="C18" s="1" t="str">
        <f t="shared" si="0"/>
        <v>Tue</v>
      </c>
      <c r="D18" s="1" t="str">
        <f t="shared" si="1"/>
        <v>Weekday</v>
      </c>
      <c r="E18" s="3">
        <v>0.37847222222222221</v>
      </c>
      <c r="F18" s="1" t="s">
        <v>72</v>
      </c>
      <c r="G18" s="1" t="s">
        <v>54</v>
      </c>
      <c r="H18" s="1" t="s">
        <v>73</v>
      </c>
      <c r="I18" s="1" t="s">
        <v>74</v>
      </c>
      <c r="J18" s="1" t="s">
        <v>75</v>
      </c>
      <c r="K18" s="1">
        <v>6</v>
      </c>
      <c r="L18" s="1">
        <v>64</v>
      </c>
      <c r="M18" s="1">
        <v>384</v>
      </c>
      <c r="N18" s="1">
        <v>10</v>
      </c>
      <c r="O18" s="1">
        <v>374</v>
      </c>
      <c r="P18" s="1" t="s">
        <v>38</v>
      </c>
      <c r="Q18" s="1">
        <v>39</v>
      </c>
      <c r="R18" s="1" t="s">
        <v>20</v>
      </c>
      <c r="S18" s="1"/>
    </row>
    <row r="19" spans="1:19" x14ac:dyDescent="0.3">
      <c r="A19" s="1" t="s">
        <v>76</v>
      </c>
      <c r="B19" s="2">
        <v>45668</v>
      </c>
      <c r="C19" s="1" t="str">
        <f t="shared" si="0"/>
        <v>Sat</v>
      </c>
      <c r="D19" s="1" t="str">
        <f t="shared" si="1"/>
        <v>Weekend</v>
      </c>
      <c r="E19" s="3">
        <v>0.76041666666666663</v>
      </c>
      <c r="F19" s="1" t="s">
        <v>77</v>
      </c>
      <c r="G19" s="1" t="s">
        <v>54</v>
      </c>
      <c r="H19" s="1" t="s">
        <v>35</v>
      </c>
      <c r="I19" s="1" t="s">
        <v>42</v>
      </c>
      <c r="J19" s="1" t="s">
        <v>25</v>
      </c>
      <c r="K19" s="1">
        <v>1</v>
      </c>
      <c r="L19" s="1">
        <v>68</v>
      </c>
      <c r="M19" s="1">
        <v>68</v>
      </c>
      <c r="N19" s="1">
        <v>0</v>
      </c>
      <c r="O19" s="1">
        <v>68</v>
      </c>
      <c r="P19" s="1" t="s">
        <v>38</v>
      </c>
      <c r="Q19" s="1">
        <v>38</v>
      </c>
      <c r="R19" s="1" t="s">
        <v>20</v>
      </c>
      <c r="S19" s="1">
        <v>5</v>
      </c>
    </row>
    <row r="20" spans="1:19" x14ac:dyDescent="0.3">
      <c r="A20" s="1" t="s">
        <v>78</v>
      </c>
      <c r="B20" s="2">
        <v>45665</v>
      </c>
      <c r="C20" s="1" t="str">
        <f t="shared" si="0"/>
        <v>Wed</v>
      </c>
      <c r="D20" s="1" t="str">
        <f t="shared" si="1"/>
        <v>Weekday</v>
      </c>
      <c r="E20" s="3">
        <v>0.78125</v>
      </c>
      <c r="F20" s="1" t="s">
        <v>79</v>
      </c>
      <c r="G20" s="1" t="s">
        <v>1047</v>
      </c>
      <c r="H20" s="1" t="s">
        <v>55</v>
      </c>
      <c r="I20" s="1" t="s">
        <v>42</v>
      </c>
      <c r="J20" s="1" t="s">
        <v>25</v>
      </c>
      <c r="K20" s="1">
        <v>5</v>
      </c>
      <c r="L20" s="1">
        <v>12</v>
      </c>
      <c r="M20" s="1">
        <v>60</v>
      </c>
      <c r="N20" s="1">
        <v>0</v>
      </c>
      <c r="O20" s="1">
        <v>60</v>
      </c>
      <c r="P20" s="1" t="s">
        <v>1048</v>
      </c>
      <c r="Q20" s="1">
        <v>25</v>
      </c>
      <c r="R20" s="1" t="s">
        <v>31</v>
      </c>
      <c r="S20" s="1">
        <v>5</v>
      </c>
    </row>
    <row r="21" spans="1:19" x14ac:dyDescent="0.3">
      <c r="A21" s="1" t="s">
        <v>80</v>
      </c>
      <c r="B21" s="2">
        <v>45839</v>
      </c>
      <c r="C21" s="1" t="str">
        <f t="shared" si="0"/>
        <v>Tue</v>
      </c>
      <c r="D21" s="1" t="str">
        <f t="shared" si="1"/>
        <v>Weekday</v>
      </c>
      <c r="E21" s="3">
        <v>0.76041666666666663</v>
      </c>
      <c r="F21" s="1" t="s">
        <v>81</v>
      </c>
      <c r="G21" s="1" t="s">
        <v>84</v>
      </c>
      <c r="H21" s="1" t="s">
        <v>55</v>
      </c>
      <c r="I21" s="1" t="s">
        <v>24</v>
      </c>
      <c r="J21" s="1" t="s">
        <v>25</v>
      </c>
      <c r="K21" s="1">
        <v>4</v>
      </c>
      <c r="L21" s="1">
        <v>119</v>
      </c>
      <c r="M21" s="1">
        <v>476</v>
      </c>
      <c r="N21" s="1">
        <v>5</v>
      </c>
      <c r="O21" s="1">
        <v>471</v>
      </c>
      <c r="P21" s="1" t="s">
        <v>1048</v>
      </c>
      <c r="Q21" s="1">
        <v>55</v>
      </c>
      <c r="R21" s="1" t="s">
        <v>31</v>
      </c>
      <c r="S21" s="1"/>
    </row>
    <row r="22" spans="1:19" x14ac:dyDescent="0.3">
      <c r="A22" s="1" t="s">
        <v>82</v>
      </c>
      <c r="B22" s="2">
        <v>45660</v>
      </c>
      <c r="C22" s="1" t="str">
        <f t="shared" si="0"/>
        <v>Fri</v>
      </c>
      <c r="D22" s="1" t="str">
        <f t="shared" si="1"/>
        <v>Weekday</v>
      </c>
      <c r="E22" s="3">
        <v>0.76041666666666663</v>
      </c>
      <c r="F22" s="1" t="s">
        <v>83</v>
      </c>
      <c r="G22" s="1" t="s">
        <v>84</v>
      </c>
      <c r="H22" s="1" t="s">
        <v>55</v>
      </c>
      <c r="I22" s="1" t="s">
        <v>36</v>
      </c>
      <c r="J22" s="1" t="s">
        <v>37</v>
      </c>
      <c r="K22" s="1">
        <v>6</v>
      </c>
      <c r="L22" s="1">
        <v>64</v>
      </c>
      <c r="M22" s="1">
        <v>384</v>
      </c>
      <c r="N22" s="1">
        <v>5</v>
      </c>
      <c r="O22" s="1">
        <v>379</v>
      </c>
      <c r="P22" s="1" t="s">
        <v>1049</v>
      </c>
      <c r="Q22" s="1">
        <v>16</v>
      </c>
      <c r="R22" s="1" t="s">
        <v>31</v>
      </c>
      <c r="S22" s="1">
        <v>3</v>
      </c>
    </row>
    <row r="23" spans="1:19" x14ac:dyDescent="0.3">
      <c r="A23" s="1" t="s">
        <v>85</v>
      </c>
      <c r="B23" s="2">
        <v>45658</v>
      </c>
      <c r="C23" s="1" t="str">
        <f t="shared" si="0"/>
        <v>Wed</v>
      </c>
      <c r="D23" s="1" t="str">
        <f t="shared" si="1"/>
        <v>Weekday</v>
      </c>
      <c r="E23" s="3">
        <v>0.78125</v>
      </c>
      <c r="F23" s="1" t="s">
        <v>86</v>
      </c>
      <c r="G23" s="1" t="s">
        <v>48</v>
      </c>
      <c r="H23" s="1" t="s">
        <v>35</v>
      </c>
      <c r="I23" s="1" t="s">
        <v>87</v>
      </c>
      <c r="J23" s="1" t="s">
        <v>88</v>
      </c>
      <c r="K23" s="1">
        <v>3</v>
      </c>
      <c r="L23" s="1">
        <v>76</v>
      </c>
      <c r="M23" s="1">
        <v>228</v>
      </c>
      <c r="N23" s="1">
        <v>0</v>
      </c>
      <c r="O23" s="1">
        <v>228</v>
      </c>
      <c r="P23" s="1" t="s">
        <v>38</v>
      </c>
      <c r="Q23" s="1">
        <v>53</v>
      </c>
      <c r="R23" s="1" t="s">
        <v>20</v>
      </c>
      <c r="S23" s="1">
        <v>5</v>
      </c>
    </row>
    <row r="24" spans="1:19" x14ac:dyDescent="0.3">
      <c r="A24" s="1" t="s">
        <v>89</v>
      </c>
      <c r="B24" s="2">
        <v>45663</v>
      </c>
      <c r="C24" s="1" t="str">
        <f t="shared" si="0"/>
        <v>Mon</v>
      </c>
      <c r="D24" s="1" t="str">
        <f t="shared" si="1"/>
        <v>Weekday</v>
      </c>
      <c r="E24" s="3">
        <v>0.4375</v>
      </c>
      <c r="F24" s="1" t="s">
        <v>90</v>
      </c>
      <c r="G24" s="1" t="s">
        <v>54</v>
      </c>
      <c r="H24" s="1" t="s">
        <v>64</v>
      </c>
      <c r="I24" s="1" t="s">
        <v>42</v>
      </c>
      <c r="J24" s="1" t="s">
        <v>25</v>
      </c>
      <c r="K24" s="1">
        <v>5</v>
      </c>
      <c r="L24" s="1">
        <v>78</v>
      </c>
      <c r="M24" s="1">
        <v>390</v>
      </c>
      <c r="N24" s="1">
        <v>0</v>
      </c>
      <c r="O24" s="1">
        <v>390</v>
      </c>
      <c r="P24" s="1" t="s">
        <v>1049</v>
      </c>
      <c r="Q24" s="1">
        <v>12</v>
      </c>
      <c r="R24" s="1" t="s">
        <v>31</v>
      </c>
      <c r="S24" s="1">
        <v>3</v>
      </c>
    </row>
    <row r="25" spans="1:19" x14ac:dyDescent="0.3">
      <c r="A25" s="1" t="s">
        <v>91</v>
      </c>
      <c r="B25" s="2">
        <v>45689</v>
      </c>
      <c r="C25" s="1" t="str">
        <f t="shared" si="0"/>
        <v>Sat</v>
      </c>
      <c r="D25" s="1" t="str">
        <f t="shared" si="1"/>
        <v>Weekend</v>
      </c>
      <c r="E25" s="3">
        <v>0.4375</v>
      </c>
      <c r="F25" s="1" t="s">
        <v>92</v>
      </c>
      <c r="G25" s="1" t="s">
        <v>1047</v>
      </c>
      <c r="H25" s="1" t="s">
        <v>41</v>
      </c>
      <c r="I25" s="1" t="s">
        <v>36</v>
      </c>
      <c r="J25" s="1" t="s">
        <v>37</v>
      </c>
      <c r="K25" s="1">
        <v>3</v>
      </c>
      <c r="L25" s="1">
        <v>105</v>
      </c>
      <c r="M25" s="1">
        <v>325</v>
      </c>
      <c r="N25" s="1">
        <v>0</v>
      </c>
      <c r="O25" s="1">
        <v>315</v>
      </c>
      <c r="P25" s="1" t="s">
        <v>38</v>
      </c>
      <c r="Q25" s="1">
        <v>55</v>
      </c>
      <c r="R25" s="1" t="s">
        <v>31</v>
      </c>
      <c r="S25" s="1">
        <v>2</v>
      </c>
    </row>
    <row r="26" spans="1:19" x14ac:dyDescent="0.3">
      <c r="A26" s="1" t="s">
        <v>93</v>
      </c>
      <c r="B26" s="2">
        <v>45870</v>
      </c>
      <c r="C26" s="1" t="str">
        <f t="shared" si="0"/>
        <v>Fri</v>
      </c>
      <c r="D26" s="1" t="str">
        <f t="shared" si="1"/>
        <v>Weekday</v>
      </c>
      <c r="E26" s="3">
        <v>0.37847222222222221</v>
      </c>
      <c r="F26" s="1" t="s">
        <v>94</v>
      </c>
      <c r="G26" s="1" t="s">
        <v>28</v>
      </c>
      <c r="H26" s="1" t="s">
        <v>64</v>
      </c>
      <c r="I26" s="1" t="s">
        <v>74</v>
      </c>
      <c r="J26" s="1" t="s">
        <v>75</v>
      </c>
      <c r="K26" s="1">
        <v>5</v>
      </c>
      <c r="L26" s="1">
        <v>67</v>
      </c>
      <c r="M26" s="1">
        <v>335</v>
      </c>
      <c r="N26" s="1">
        <v>5</v>
      </c>
      <c r="O26" s="1">
        <v>330</v>
      </c>
      <c r="P26" s="1" t="s">
        <v>1048</v>
      </c>
      <c r="Q26" s="1">
        <v>38</v>
      </c>
      <c r="R26" s="1" t="s">
        <v>20</v>
      </c>
      <c r="S26" s="1"/>
    </row>
    <row r="27" spans="1:19" x14ac:dyDescent="0.3">
      <c r="A27" s="1" t="s">
        <v>95</v>
      </c>
      <c r="B27" s="2">
        <v>45839</v>
      </c>
      <c r="C27" s="1" t="str">
        <f t="shared" si="0"/>
        <v>Tue</v>
      </c>
      <c r="D27" s="1" t="str">
        <f t="shared" si="1"/>
        <v>Weekday</v>
      </c>
      <c r="E27" s="3">
        <v>0.37847222222222221</v>
      </c>
      <c r="F27" s="1" t="s">
        <v>96</v>
      </c>
      <c r="G27" s="1" t="s">
        <v>28</v>
      </c>
      <c r="H27" s="1" t="s">
        <v>16</v>
      </c>
      <c r="I27" s="1" t="s">
        <v>51</v>
      </c>
      <c r="J27" s="1" t="s">
        <v>18</v>
      </c>
      <c r="K27" s="1">
        <v>1</v>
      </c>
      <c r="L27" s="1">
        <v>104</v>
      </c>
      <c r="M27" s="1">
        <v>104</v>
      </c>
      <c r="N27" s="1">
        <v>5</v>
      </c>
      <c r="O27" s="1">
        <v>99</v>
      </c>
      <c r="P27" s="1" t="s">
        <v>1048</v>
      </c>
      <c r="Q27" s="1">
        <v>33</v>
      </c>
      <c r="R27" s="1" t="s">
        <v>20</v>
      </c>
      <c r="S27" s="1">
        <v>4</v>
      </c>
    </row>
    <row r="28" spans="1:19" x14ac:dyDescent="0.3">
      <c r="A28" s="1" t="s">
        <v>97</v>
      </c>
      <c r="B28" s="2">
        <v>45748</v>
      </c>
      <c r="C28" s="1" t="str">
        <f t="shared" si="0"/>
        <v>Tue</v>
      </c>
      <c r="D28" s="1" t="str">
        <f t="shared" si="1"/>
        <v>Weekday</v>
      </c>
      <c r="E28" s="3">
        <v>0.78125</v>
      </c>
      <c r="F28" s="1" t="s">
        <v>98</v>
      </c>
      <c r="G28" s="1" t="s">
        <v>54</v>
      </c>
      <c r="H28" s="1" t="s">
        <v>16</v>
      </c>
      <c r="I28" s="1" t="s">
        <v>99</v>
      </c>
      <c r="J28" s="1" t="s">
        <v>100</v>
      </c>
      <c r="K28" s="1">
        <v>5</v>
      </c>
      <c r="L28" s="1">
        <v>20</v>
      </c>
      <c r="M28" s="1">
        <v>110</v>
      </c>
      <c r="N28" s="1">
        <v>5</v>
      </c>
      <c r="O28" s="1">
        <v>95</v>
      </c>
      <c r="P28" s="1" t="s">
        <v>38</v>
      </c>
      <c r="Q28" s="1">
        <v>51</v>
      </c>
      <c r="R28" s="1" t="s">
        <v>20</v>
      </c>
      <c r="S28" s="1">
        <v>1</v>
      </c>
    </row>
    <row r="29" spans="1:19" x14ac:dyDescent="0.3">
      <c r="A29" s="1" t="s">
        <v>101</v>
      </c>
      <c r="B29" s="2">
        <v>45658</v>
      </c>
      <c r="C29" s="1" t="str">
        <f t="shared" si="0"/>
        <v>Wed</v>
      </c>
      <c r="D29" s="1" t="str">
        <f t="shared" si="1"/>
        <v>Weekday</v>
      </c>
      <c r="E29" s="3">
        <v>0.76041666666666663</v>
      </c>
      <c r="F29" s="1" t="s">
        <v>102</v>
      </c>
      <c r="G29" s="1" t="s">
        <v>1047</v>
      </c>
      <c r="H29" s="1" t="s">
        <v>29</v>
      </c>
      <c r="I29" s="1" t="s">
        <v>87</v>
      </c>
      <c r="J29" s="1" t="s">
        <v>88</v>
      </c>
      <c r="K29" s="1">
        <v>2</v>
      </c>
      <c r="L29" s="1">
        <v>50</v>
      </c>
      <c r="M29" s="1">
        <v>100</v>
      </c>
      <c r="N29" s="1">
        <v>10</v>
      </c>
      <c r="O29" s="1">
        <v>90</v>
      </c>
      <c r="P29" s="1" t="s">
        <v>1048</v>
      </c>
      <c r="Q29" s="1">
        <v>51</v>
      </c>
      <c r="R29" s="1" t="s">
        <v>20</v>
      </c>
      <c r="S29" s="1">
        <v>5</v>
      </c>
    </row>
    <row r="30" spans="1:19" x14ac:dyDescent="0.3">
      <c r="A30" s="1" t="s">
        <v>103</v>
      </c>
      <c r="B30" s="2">
        <v>45689</v>
      </c>
      <c r="C30" s="1" t="str">
        <f t="shared" si="0"/>
        <v>Sat</v>
      </c>
      <c r="D30" s="1" t="str">
        <f t="shared" si="1"/>
        <v>Weekend</v>
      </c>
      <c r="E30" s="3">
        <v>0.76041666666666663</v>
      </c>
      <c r="F30" s="1" t="s">
        <v>104</v>
      </c>
      <c r="G30" s="1" t="s">
        <v>45</v>
      </c>
      <c r="H30" s="1" t="s">
        <v>29</v>
      </c>
      <c r="I30" s="1" t="s">
        <v>36</v>
      </c>
      <c r="J30" s="1" t="s">
        <v>37</v>
      </c>
      <c r="K30" s="1">
        <v>4</v>
      </c>
      <c r="L30" s="1">
        <v>52</v>
      </c>
      <c r="M30" s="1">
        <v>208</v>
      </c>
      <c r="N30" s="1">
        <v>10</v>
      </c>
      <c r="O30" s="1">
        <v>198</v>
      </c>
      <c r="P30" s="1" t="s">
        <v>19</v>
      </c>
      <c r="Q30" s="1">
        <v>49</v>
      </c>
      <c r="R30" s="1" t="s">
        <v>31</v>
      </c>
      <c r="S30" s="1">
        <v>1</v>
      </c>
    </row>
    <row r="31" spans="1:19" x14ac:dyDescent="0.3">
      <c r="A31" s="1" t="s">
        <v>105</v>
      </c>
      <c r="B31" s="2">
        <v>45839</v>
      </c>
      <c r="C31" s="1" t="str">
        <f t="shared" si="0"/>
        <v>Tue</v>
      </c>
      <c r="D31" s="1" t="str">
        <f t="shared" si="1"/>
        <v>Weekday</v>
      </c>
      <c r="E31" s="3">
        <v>0.78125</v>
      </c>
      <c r="F31" s="1" t="s">
        <v>106</v>
      </c>
      <c r="G31" s="1" t="s">
        <v>84</v>
      </c>
      <c r="H31" s="1" t="s">
        <v>29</v>
      </c>
      <c r="I31" s="1" t="s">
        <v>42</v>
      </c>
      <c r="J31" s="1" t="s">
        <v>25</v>
      </c>
      <c r="K31" s="1">
        <v>5</v>
      </c>
      <c r="L31" s="1">
        <v>114</v>
      </c>
      <c r="M31" s="1">
        <v>580</v>
      </c>
      <c r="N31" s="1">
        <v>10</v>
      </c>
      <c r="O31" s="1">
        <v>560</v>
      </c>
      <c r="P31" s="1" t="s">
        <v>19</v>
      </c>
      <c r="Q31" s="1">
        <v>46</v>
      </c>
      <c r="R31" s="1" t="s">
        <v>31</v>
      </c>
      <c r="S31" s="1">
        <v>1</v>
      </c>
    </row>
    <row r="32" spans="1:19" x14ac:dyDescent="0.3">
      <c r="A32" s="1" t="s">
        <v>107</v>
      </c>
      <c r="B32" s="2">
        <v>45870</v>
      </c>
      <c r="C32" s="1" t="str">
        <f t="shared" si="0"/>
        <v>Fri</v>
      </c>
      <c r="D32" s="1" t="str">
        <f t="shared" si="1"/>
        <v>Weekday</v>
      </c>
      <c r="E32" s="3">
        <v>0.37847222222222221</v>
      </c>
      <c r="F32" s="1" t="s">
        <v>108</v>
      </c>
      <c r="G32" s="1" t="s">
        <v>28</v>
      </c>
      <c r="H32" s="1" t="s">
        <v>35</v>
      </c>
      <c r="I32" s="1" t="s">
        <v>30</v>
      </c>
      <c r="J32" s="1" t="s">
        <v>18</v>
      </c>
      <c r="K32" s="1">
        <v>5</v>
      </c>
      <c r="L32" s="1">
        <v>82</v>
      </c>
      <c r="M32" s="1">
        <v>410</v>
      </c>
      <c r="N32" s="1">
        <v>0</v>
      </c>
      <c r="O32" s="1">
        <v>410</v>
      </c>
      <c r="P32" s="1" t="s">
        <v>19</v>
      </c>
      <c r="Q32" s="1">
        <v>24</v>
      </c>
      <c r="R32" s="1" t="s">
        <v>20</v>
      </c>
      <c r="S32" s="1">
        <v>4</v>
      </c>
    </row>
    <row r="33" spans="1:19" x14ac:dyDescent="0.3">
      <c r="A33" s="1" t="s">
        <v>109</v>
      </c>
      <c r="B33" s="2">
        <v>45667</v>
      </c>
      <c r="C33" s="1" t="str">
        <f t="shared" si="0"/>
        <v>Fri</v>
      </c>
      <c r="D33" s="1" t="str">
        <f t="shared" si="1"/>
        <v>Weekday</v>
      </c>
      <c r="E33" s="3">
        <v>0.4375</v>
      </c>
      <c r="F33" s="1" t="s">
        <v>110</v>
      </c>
      <c r="G33" s="1" t="s">
        <v>48</v>
      </c>
      <c r="H33" s="1" t="s">
        <v>41</v>
      </c>
      <c r="I33" s="1" t="s">
        <v>99</v>
      </c>
      <c r="J33" s="1" t="s">
        <v>100</v>
      </c>
      <c r="K33" s="1">
        <v>1</v>
      </c>
      <c r="L33" s="1">
        <v>95</v>
      </c>
      <c r="M33" s="1">
        <v>95</v>
      </c>
      <c r="N33" s="1">
        <v>5</v>
      </c>
      <c r="O33" s="1">
        <v>90</v>
      </c>
      <c r="P33" s="1" t="s">
        <v>1048</v>
      </c>
      <c r="Q33" s="1">
        <v>57</v>
      </c>
      <c r="R33" s="1" t="s">
        <v>31</v>
      </c>
      <c r="S33" s="1">
        <v>2</v>
      </c>
    </row>
    <row r="34" spans="1:19" x14ac:dyDescent="0.3">
      <c r="A34" s="1" t="s">
        <v>111</v>
      </c>
      <c r="B34" s="2">
        <v>45662</v>
      </c>
      <c r="C34" s="1" t="str">
        <f t="shared" si="0"/>
        <v>Sun</v>
      </c>
      <c r="D34" s="1" t="str">
        <f t="shared" si="1"/>
        <v>Weekend</v>
      </c>
      <c r="E34" s="3">
        <v>0.78125</v>
      </c>
      <c r="F34" s="1" t="s">
        <v>112</v>
      </c>
      <c r="G34" s="1" t="s">
        <v>34</v>
      </c>
      <c r="H34" s="1" t="s">
        <v>35</v>
      </c>
      <c r="I34" s="1" t="s">
        <v>74</v>
      </c>
      <c r="J34" s="1" t="s">
        <v>75</v>
      </c>
      <c r="K34" s="1">
        <v>2</v>
      </c>
      <c r="L34" s="1">
        <v>32</v>
      </c>
      <c r="M34" s="1">
        <v>64</v>
      </c>
      <c r="N34" s="1">
        <v>0</v>
      </c>
      <c r="O34" s="1">
        <v>64</v>
      </c>
      <c r="P34" s="1" t="s">
        <v>1048</v>
      </c>
      <c r="Q34" s="1">
        <v>34</v>
      </c>
      <c r="R34" s="1" t="s">
        <v>20</v>
      </c>
      <c r="S34" s="1"/>
    </row>
    <row r="35" spans="1:19" x14ac:dyDescent="0.3">
      <c r="A35" s="1" t="s">
        <v>113</v>
      </c>
      <c r="B35" s="2">
        <v>45661</v>
      </c>
      <c r="C35" s="1" t="str">
        <f t="shared" si="0"/>
        <v>Sat</v>
      </c>
      <c r="D35" s="1" t="str">
        <f t="shared" si="1"/>
        <v>Weekend</v>
      </c>
      <c r="E35" s="3">
        <v>0.37847222222222221</v>
      </c>
      <c r="F35" s="1" t="s">
        <v>114</v>
      </c>
      <c r="G35" s="1" t="s">
        <v>54</v>
      </c>
      <c r="H35" s="1" t="s">
        <v>73</v>
      </c>
      <c r="I35" s="1" t="s">
        <v>87</v>
      </c>
      <c r="J35" s="1" t="s">
        <v>88</v>
      </c>
      <c r="K35" s="1">
        <v>1</v>
      </c>
      <c r="L35" s="1">
        <v>87</v>
      </c>
      <c r="M35" s="1">
        <v>87</v>
      </c>
      <c r="N35" s="1">
        <v>0</v>
      </c>
      <c r="O35" s="1">
        <v>87</v>
      </c>
      <c r="P35" s="1" t="s">
        <v>1048</v>
      </c>
      <c r="Q35" s="1">
        <v>47</v>
      </c>
      <c r="R35" s="1" t="s">
        <v>20</v>
      </c>
      <c r="S35" s="1">
        <v>2</v>
      </c>
    </row>
    <row r="36" spans="1:19" x14ac:dyDescent="0.3">
      <c r="A36" s="1" t="s">
        <v>115</v>
      </c>
      <c r="B36" s="2">
        <v>45839</v>
      </c>
      <c r="C36" s="1" t="str">
        <f t="shared" si="0"/>
        <v>Tue</v>
      </c>
      <c r="D36" s="1" t="str">
        <f t="shared" si="1"/>
        <v>Weekday</v>
      </c>
      <c r="E36" s="3">
        <v>0.76041666666666663</v>
      </c>
      <c r="F36" s="1" t="s">
        <v>116</v>
      </c>
      <c r="G36" s="1" t="s">
        <v>54</v>
      </c>
      <c r="H36" s="1" t="s">
        <v>16</v>
      </c>
      <c r="I36" s="1" t="s">
        <v>42</v>
      </c>
      <c r="J36" s="1" t="s">
        <v>25</v>
      </c>
      <c r="K36" s="1">
        <v>5</v>
      </c>
      <c r="L36" s="1">
        <v>36</v>
      </c>
      <c r="M36" s="1">
        <v>180</v>
      </c>
      <c r="N36" s="1">
        <v>0</v>
      </c>
      <c r="O36" s="1">
        <v>180</v>
      </c>
      <c r="P36" s="1" t="s">
        <v>38</v>
      </c>
      <c r="Q36" s="1">
        <v>19</v>
      </c>
      <c r="R36" s="1" t="s">
        <v>20</v>
      </c>
      <c r="S36" s="1">
        <v>5</v>
      </c>
    </row>
    <row r="37" spans="1:19" x14ac:dyDescent="0.3">
      <c r="A37" s="1" t="s">
        <v>117</v>
      </c>
      <c r="B37" s="2">
        <v>45839</v>
      </c>
      <c r="C37" s="1" t="str">
        <f t="shared" si="0"/>
        <v>Tue</v>
      </c>
      <c r="D37" s="1" t="str">
        <f t="shared" si="1"/>
        <v>Weekday</v>
      </c>
      <c r="E37" s="3">
        <v>0.4375</v>
      </c>
      <c r="F37" s="1" t="s">
        <v>118</v>
      </c>
      <c r="G37" s="1" t="s">
        <v>84</v>
      </c>
      <c r="H37" s="1" t="s">
        <v>16</v>
      </c>
      <c r="I37" s="1" t="s">
        <v>74</v>
      </c>
      <c r="J37" s="1" t="s">
        <v>75</v>
      </c>
      <c r="K37" s="1">
        <v>2</v>
      </c>
      <c r="L37" s="1">
        <v>52</v>
      </c>
      <c r="M37" s="1">
        <v>104</v>
      </c>
      <c r="N37" s="1">
        <v>0</v>
      </c>
      <c r="O37" s="1">
        <v>104</v>
      </c>
      <c r="P37" s="1" t="s">
        <v>1048</v>
      </c>
      <c r="Q37" s="1">
        <v>53</v>
      </c>
      <c r="R37" s="1" t="s">
        <v>20</v>
      </c>
      <c r="S37" s="1">
        <v>3</v>
      </c>
    </row>
    <row r="38" spans="1:19" x14ac:dyDescent="0.3">
      <c r="A38" s="1" t="s">
        <v>119</v>
      </c>
      <c r="B38" s="2">
        <v>45870</v>
      </c>
      <c r="C38" s="1" t="str">
        <f t="shared" si="0"/>
        <v>Fri</v>
      </c>
      <c r="D38" s="1" t="str">
        <f t="shared" si="1"/>
        <v>Weekday</v>
      </c>
      <c r="E38" s="3">
        <v>0.4375</v>
      </c>
      <c r="F38" s="1" t="s">
        <v>120</v>
      </c>
      <c r="G38" s="1" t="s">
        <v>28</v>
      </c>
      <c r="H38" s="1" t="s">
        <v>35</v>
      </c>
      <c r="I38" s="1" t="s">
        <v>42</v>
      </c>
      <c r="J38" s="1" t="s">
        <v>25</v>
      </c>
      <c r="K38" s="1">
        <v>2</v>
      </c>
      <c r="L38" s="1">
        <v>105</v>
      </c>
      <c r="M38" s="1">
        <v>210</v>
      </c>
      <c r="N38" s="1">
        <v>0</v>
      </c>
      <c r="O38" s="1">
        <v>210</v>
      </c>
      <c r="P38" s="1" t="s">
        <v>1048</v>
      </c>
      <c r="Q38" s="1">
        <v>24</v>
      </c>
      <c r="R38" s="1" t="s">
        <v>31</v>
      </c>
      <c r="S38" s="1">
        <v>1</v>
      </c>
    </row>
    <row r="39" spans="1:19" x14ac:dyDescent="0.3">
      <c r="A39" s="1" t="s">
        <v>121</v>
      </c>
      <c r="B39" s="2">
        <v>45664</v>
      </c>
      <c r="C39" s="1" t="str">
        <f t="shared" si="0"/>
        <v>Tue</v>
      </c>
      <c r="D39" s="1" t="str">
        <f t="shared" si="1"/>
        <v>Weekday</v>
      </c>
      <c r="E39" s="3">
        <v>0.78125</v>
      </c>
      <c r="F39" s="1" t="s">
        <v>122</v>
      </c>
      <c r="G39" s="1" t="s">
        <v>54</v>
      </c>
      <c r="H39" s="1" t="s">
        <v>55</v>
      </c>
      <c r="I39" s="1" t="s">
        <v>74</v>
      </c>
      <c r="J39" s="1" t="s">
        <v>75</v>
      </c>
      <c r="K39" s="1">
        <v>4</v>
      </c>
      <c r="L39" s="1">
        <v>85</v>
      </c>
      <c r="M39" s="1">
        <v>350</v>
      </c>
      <c r="N39" s="1">
        <v>5</v>
      </c>
      <c r="O39" s="1">
        <v>335</v>
      </c>
      <c r="P39" s="1" t="s">
        <v>1049</v>
      </c>
      <c r="Q39" s="1">
        <v>36</v>
      </c>
      <c r="R39" s="1" t="s">
        <v>31</v>
      </c>
      <c r="S39" s="1">
        <v>2</v>
      </c>
    </row>
    <row r="40" spans="1:19" x14ac:dyDescent="0.3">
      <c r="A40" s="1" t="s">
        <v>123</v>
      </c>
      <c r="B40" s="2">
        <v>45667</v>
      </c>
      <c r="C40" s="1" t="str">
        <f t="shared" si="0"/>
        <v>Fri</v>
      </c>
      <c r="D40" s="1" t="str">
        <f t="shared" si="1"/>
        <v>Weekday</v>
      </c>
      <c r="E40" s="3">
        <v>0.78125</v>
      </c>
      <c r="F40" s="1" t="s">
        <v>124</v>
      </c>
      <c r="G40" s="1" t="s">
        <v>28</v>
      </c>
      <c r="H40" s="1" t="s">
        <v>29</v>
      </c>
      <c r="I40" s="1" t="s">
        <v>24</v>
      </c>
      <c r="J40" s="1" t="s">
        <v>25</v>
      </c>
      <c r="K40" s="1">
        <v>1</v>
      </c>
      <c r="L40" s="1">
        <v>52</v>
      </c>
      <c r="M40" s="1">
        <v>52</v>
      </c>
      <c r="N40" s="1">
        <v>10</v>
      </c>
      <c r="O40" s="1">
        <v>42</v>
      </c>
      <c r="P40" s="1" t="s">
        <v>1048</v>
      </c>
      <c r="Q40" s="1">
        <v>32</v>
      </c>
      <c r="R40" s="1" t="s">
        <v>31</v>
      </c>
      <c r="S40" s="1">
        <v>2</v>
      </c>
    </row>
    <row r="41" spans="1:19" x14ac:dyDescent="0.3">
      <c r="A41" s="1" t="s">
        <v>125</v>
      </c>
      <c r="B41" s="2">
        <v>45662</v>
      </c>
      <c r="C41" s="1" t="str">
        <f t="shared" si="0"/>
        <v>Sun</v>
      </c>
      <c r="D41" s="1" t="str">
        <f t="shared" si="1"/>
        <v>Weekend</v>
      </c>
      <c r="E41" s="3">
        <v>0.4375</v>
      </c>
      <c r="F41" s="1" t="s">
        <v>126</v>
      </c>
      <c r="G41" s="1" t="s">
        <v>54</v>
      </c>
      <c r="H41" s="1" t="s">
        <v>73</v>
      </c>
      <c r="I41" s="1" t="s">
        <v>87</v>
      </c>
      <c r="J41" s="1" t="s">
        <v>88</v>
      </c>
      <c r="K41" s="1">
        <v>4</v>
      </c>
      <c r="L41" s="1">
        <v>98</v>
      </c>
      <c r="M41" s="1">
        <v>392</v>
      </c>
      <c r="N41" s="1">
        <v>10</v>
      </c>
      <c r="O41" s="1">
        <v>382</v>
      </c>
      <c r="P41" s="1" t="s">
        <v>1048</v>
      </c>
      <c r="Q41" s="1">
        <v>15</v>
      </c>
      <c r="R41" s="1" t="s">
        <v>20</v>
      </c>
      <c r="S41" s="1">
        <v>2</v>
      </c>
    </row>
    <row r="42" spans="1:19" x14ac:dyDescent="0.3">
      <c r="A42" s="1" t="s">
        <v>127</v>
      </c>
      <c r="B42" s="2">
        <v>45901</v>
      </c>
      <c r="C42" s="1" t="str">
        <f t="shared" si="0"/>
        <v>Mon</v>
      </c>
      <c r="D42" s="1" t="str">
        <f t="shared" si="1"/>
        <v>Weekday</v>
      </c>
      <c r="E42" s="3">
        <v>0.76041666666666663</v>
      </c>
      <c r="F42" s="1" t="s">
        <v>128</v>
      </c>
      <c r="G42" s="1" t="s">
        <v>84</v>
      </c>
      <c r="H42" s="1" t="s">
        <v>73</v>
      </c>
      <c r="I42" s="1" t="s">
        <v>74</v>
      </c>
      <c r="J42" s="1" t="s">
        <v>75</v>
      </c>
      <c r="K42" s="1">
        <v>6</v>
      </c>
      <c r="L42" s="1">
        <v>98</v>
      </c>
      <c r="M42" s="1">
        <v>588</v>
      </c>
      <c r="N42" s="1">
        <v>0</v>
      </c>
      <c r="O42" s="1">
        <v>588</v>
      </c>
      <c r="P42" s="1" t="s">
        <v>1048</v>
      </c>
      <c r="Q42" s="1">
        <v>57</v>
      </c>
      <c r="R42" s="1" t="s">
        <v>20</v>
      </c>
      <c r="S42" s="1">
        <v>4</v>
      </c>
    </row>
    <row r="43" spans="1:19" x14ac:dyDescent="0.3">
      <c r="A43" s="1" t="s">
        <v>129</v>
      </c>
      <c r="B43" s="2">
        <v>45717</v>
      </c>
      <c r="C43" s="1" t="str">
        <f t="shared" si="0"/>
        <v>Sat</v>
      </c>
      <c r="D43" s="1" t="str">
        <f t="shared" si="1"/>
        <v>Weekend</v>
      </c>
      <c r="E43" s="3">
        <v>0.37847222222222221</v>
      </c>
      <c r="F43" s="1" t="s">
        <v>130</v>
      </c>
      <c r="G43" s="1" t="s">
        <v>1047</v>
      </c>
      <c r="H43" s="1" t="s">
        <v>16</v>
      </c>
      <c r="I43" s="1" t="s">
        <v>17</v>
      </c>
      <c r="J43" s="1" t="s">
        <v>18</v>
      </c>
      <c r="K43" s="1">
        <v>6</v>
      </c>
      <c r="L43" s="1">
        <v>84</v>
      </c>
      <c r="M43" s="1">
        <v>504</v>
      </c>
      <c r="N43" s="1">
        <v>0</v>
      </c>
      <c r="O43" s="1">
        <v>504</v>
      </c>
      <c r="P43" s="1" t="s">
        <v>19</v>
      </c>
      <c r="Q43" s="1">
        <v>16</v>
      </c>
      <c r="R43" s="1" t="s">
        <v>31</v>
      </c>
      <c r="S43" s="1">
        <v>2</v>
      </c>
    </row>
    <row r="44" spans="1:19" x14ac:dyDescent="0.3">
      <c r="A44" s="1" t="s">
        <v>131</v>
      </c>
      <c r="B44" s="2">
        <v>45778</v>
      </c>
      <c r="C44" s="1" t="str">
        <f t="shared" si="0"/>
        <v>Thu</v>
      </c>
      <c r="D44" s="1" t="str">
        <f t="shared" si="1"/>
        <v>Weekday</v>
      </c>
      <c r="E44" s="3">
        <v>0.37847222222222221</v>
      </c>
      <c r="F44" s="1" t="s">
        <v>132</v>
      </c>
      <c r="G44" s="1" t="s">
        <v>48</v>
      </c>
      <c r="H44" s="1" t="s">
        <v>55</v>
      </c>
      <c r="I44" s="1" t="s">
        <v>87</v>
      </c>
      <c r="J44" s="1" t="s">
        <v>88</v>
      </c>
      <c r="K44" s="1">
        <v>5</v>
      </c>
      <c r="L44" s="1">
        <v>69</v>
      </c>
      <c r="M44" s="1">
        <v>345</v>
      </c>
      <c r="N44" s="1">
        <v>0</v>
      </c>
      <c r="O44" s="1">
        <v>345</v>
      </c>
      <c r="P44" s="1" t="s">
        <v>38</v>
      </c>
      <c r="Q44" s="1">
        <v>53</v>
      </c>
      <c r="R44" s="1" t="s">
        <v>20</v>
      </c>
      <c r="S44" s="1">
        <v>2</v>
      </c>
    </row>
    <row r="45" spans="1:19" x14ac:dyDescent="0.3">
      <c r="A45" s="1" t="s">
        <v>133</v>
      </c>
      <c r="B45" s="2">
        <v>45663</v>
      </c>
      <c r="C45" s="1" t="str">
        <f t="shared" si="0"/>
        <v>Mon</v>
      </c>
      <c r="D45" s="1" t="str">
        <f t="shared" si="1"/>
        <v>Weekday</v>
      </c>
      <c r="E45" s="3">
        <v>0.78125</v>
      </c>
      <c r="F45" s="1" t="s">
        <v>134</v>
      </c>
      <c r="G45" s="1" t="s">
        <v>34</v>
      </c>
      <c r="H45" s="1" t="s">
        <v>55</v>
      </c>
      <c r="I45" s="1" t="s">
        <v>74</v>
      </c>
      <c r="J45" s="1" t="s">
        <v>75</v>
      </c>
      <c r="K45" s="1">
        <v>1</v>
      </c>
      <c r="L45" s="1">
        <v>63</v>
      </c>
      <c r="M45" s="1">
        <v>63</v>
      </c>
      <c r="N45" s="1">
        <v>0</v>
      </c>
      <c r="O45" s="1">
        <v>63</v>
      </c>
      <c r="P45" s="1" t="s">
        <v>19</v>
      </c>
      <c r="Q45" s="1">
        <v>18</v>
      </c>
      <c r="R45" s="1" t="s">
        <v>20</v>
      </c>
      <c r="S45" s="1">
        <v>1</v>
      </c>
    </row>
    <row r="46" spans="1:19" x14ac:dyDescent="0.3">
      <c r="A46" s="1" t="s">
        <v>135</v>
      </c>
      <c r="B46" s="2">
        <v>45870</v>
      </c>
      <c r="C46" s="1" t="str">
        <f t="shared" si="0"/>
        <v>Fri</v>
      </c>
      <c r="D46" s="1" t="str">
        <f t="shared" si="1"/>
        <v>Weekday</v>
      </c>
      <c r="E46" s="3">
        <v>0.78125</v>
      </c>
      <c r="F46" s="1" t="s">
        <v>136</v>
      </c>
      <c r="G46" s="1" t="s">
        <v>48</v>
      </c>
      <c r="H46" s="1" t="s">
        <v>35</v>
      </c>
      <c r="I46" s="1" t="s">
        <v>74</v>
      </c>
      <c r="J46" s="1" t="s">
        <v>75</v>
      </c>
      <c r="K46" s="1">
        <v>1</v>
      </c>
      <c r="L46" s="1">
        <v>79</v>
      </c>
      <c r="M46" s="1">
        <v>79</v>
      </c>
      <c r="N46" s="1">
        <v>10</v>
      </c>
      <c r="O46" s="1">
        <v>69</v>
      </c>
      <c r="P46" s="1" t="s">
        <v>1049</v>
      </c>
      <c r="Q46" s="1">
        <v>54</v>
      </c>
      <c r="R46" s="1" t="s">
        <v>31</v>
      </c>
      <c r="S46" s="1">
        <v>5</v>
      </c>
    </row>
    <row r="47" spans="1:19" x14ac:dyDescent="0.3">
      <c r="A47" s="1" t="s">
        <v>137</v>
      </c>
      <c r="B47" s="2">
        <v>45809</v>
      </c>
      <c r="C47" s="1" t="str">
        <f t="shared" si="0"/>
        <v>Sun</v>
      </c>
      <c r="D47" s="1" t="str">
        <f t="shared" si="1"/>
        <v>Weekend</v>
      </c>
      <c r="E47" s="3">
        <v>0.78125</v>
      </c>
      <c r="F47" s="1" t="s">
        <v>138</v>
      </c>
      <c r="G47" s="1" t="s">
        <v>28</v>
      </c>
      <c r="H47" s="1" t="s">
        <v>23</v>
      </c>
      <c r="I47" s="1" t="s">
        <v>30</v>
      </c>
      <c r="J47" s="1" t="s">
        <v>18</v>
      </c>
      <c r="K47" s="1">
        <v>4</v>
      </c>
      <c r="L47" s="1">
        <v>74</v>
      </c>
      <c r="M47" s="1">
        <v>296</v>
      </c>
      <c r="N47" s="1">
        <v>5</v>
      </c>
      <c r="O47" s="1">
        <v>291</v>
      </c>
      <c r="P47" s="1" t="s">
        <v>1048</v>
      </c>
      <c r="Q47" s="1">
        <v>17</v>
      </c>
      <c r="R47" s="1" t="s">
        <v>31</v>
      </c>
      <c r="S47" s="1">
        <v>4</v>
      </c>
    </row>
    <row r="48" spans="1:19" x14ac:dyDescent="0.3">
      <c r="A48" s="1" t="s">
        <v>139</v>
      </c>
      <c r="B48" s="2">
        <v>45931</v>
      </c>
      <c r="C48" s="1" t="str">
        <f t="shared" si="0"/>
        <v>Wed</v>
      </c>
      <c r="D48" s="1" t="str">
        <f t="shared" si="1"/>
        <v>Weekday</v>
      </c>
      <c r="E48" s="3">
        <v>0.78125</v>
      </c>
      <c r="F48" s="1" t="s">
        <v>140</v>
      </c>
      <c r="G48" s="1" t="s">
        <v>48</v>
      </c>
      <c r="H48" s="1" t="s">
        <v>29</v>
      </c>
      <c r="I48" s="1" t="s">
        <v>17</v>
      </c>
      <c r="J48" s="1" t="s">
        <v>18</v>
      </c>
      <c r="K48" s="1">
        <v>2</v>
      </c>
      <c r="L48" s="1">
        <v>103</v>
      </c>
      <c r="M48" s="1">
        <v>206</v>
      </c>
      <c r="N48" s="1">
        <v>10</v>
      </c>
      <c r="O48" s="1">
        <v>196</v>
      </c>
      <c r="P48" s="1" t="s">
        <v>1048</v>
      </c>
      <c r="Q48" s="1">
        <v>32</v>
      </c>
      <c r="R48" s="1" t="s">
        <v>20</v>
      </c>
      <c r="S48" s="1">
        <v>3</v>
      </c>
    </row>
    <row r="49" spans="1:19" x14ac:dyDescent="0.3">
      <c r="A49" s="1" t="s">
        <v>141</v>
      </c>
      <c r="B49" s="2">
        <v>45717</v>
      </c>
      <c r="C49" s="1" t="str">
        <f t="shared" si="0"/>
        <v>Sat</v>
      </c>
      <c r="D49" s="1" t="str">
        <f t="shared" si="1"/>
        <v>Weekend</v>
      </c>
      <c r="E49" s="3">
        <v>0.4375</v>
      </c>
      <c r="F49" s="1" t="s">
        <v>142</v>
      </c>
      <c r="G49" s="1" t="s">
        <v>48</v>
      </c>
      <c r="H49" s="1" t="s">
        <v>41</v>
      </c>
      <c r="I49" s="1" t="s">
        <v>99</v>
      </c>
      <c r="J49" s="1" t="s">
        <v>100</v>
      </c>
      <c r="K49" s="1">
        <v>5</v>
      </c>
      <c r="L49" s="1">
        <v>70</v>
      </c>
      <c r="M49" s="1">
        <v>350</v>
      </c>
      <c r="N49" s="1">
        <v>10</v>
      </c>
      <c r="O49" s="1">
        <v>340</v>
      </c>
      <c r="P49" s="1" t="s">
        <v>1048</v>
      </c>
      <c r="Q49" s="1">
        <v>44</v>
      </c>
      <c r="R49" s="1" t="s">
        <v>31</v>
      </c>
      <c r="S49" s="1">
        <v>5</v>
      </c>
    </row>
    <row r="50" spans="1:19" x14ac:dyDescent="0.3">
      <c r="A50" s="1" t="s">
        <v>143</v>
      </c>
      <c r="B50" s="2">
        <v>45748</v>
      </c>
      <c r="C50" s="1" t="str">
        <f t="shared" si="0"/>
        <v>Tue</v>
      </c>
      <c r="D50" s="1" t="str">
        <f t="shared" si="1"/>
        <v>Weekday</v>
      </c>
      <c r="E50" s="3">
        <v>0.4375</v>
      </c>
      <c r="F50" s="1" t="s">
        <v>144</v>
      </c>
      <c r="G50" s="1" t="s">
        <v>34</v>
      </c>
      <c r="H50" s="1" t="s">
        <v>29</v>
      </c>
      <c r="I50" s="1" t="s">
        <v>30</v>
      </c>
      <c r="J50" s="1" t="s">
        <v>18</v>
      </c>
      <c r="K50" s="1">
        <v>2</v>
      </c>
      <c r="L50" s="1">
        <v>11</v>
      </c>
      <c r="M50" s="1">
        <v>22</v>
      </c>
      <c r="N50" s="1">
        <v>0</v>
      </c>
      <c r="O50" s="1">
        <v>22</v>
      </c>
      <c r="P50" s="1" t="s">
        <v>19</v>
      </c>
      <c r="Q50" s="1">
        <v>26</v>
      </c>
      <c r="R50" s="1" t="s">
        <v>20</v>
      </c>
      <c r="S50" s="1">
        <v>5</v>
      </c>
    </row>
    <row r="51" spans="1:19" x14ac:dyDescent="0.3">
      <c r="A51" s="1" t="s">
        <v>145</v>
      </c>
      <c r="B51" s="2">
        <v>45689</v>
      </c>
      <c r="C51" s="1" t="str">
        <f t="shared" si="0"/>
        <v>Sat</v>
      </c>
      <c r="D51" s="1" t="str">
        <f t="shared" si="1"/>
        <v>Weekend</v>
      </c>
      <c r="E51" s="3">
        <v>0.78125</v>
      </c>
      <c r="F51" s="1" t="s">
        <v>146</v>
      </c>
      <c r="G51" s="1" t="s">
        <v>28</v>
      </c>
      <c r="H51" s="1" t="s">
        <v>23</v>
      </c>
      <c r="I51" s="1" t="s">
        <v>42</v>
      </c>
      <c r="J51" s="1" t="s">
        <v>25</v>
      </c>
      <c r="K51" s="1">
        <v>6</v>
      </c>
      <c r="L51" s="1">
        <v>35</v>
      </c>
      <c r="M51" s="1">
        <v>210</v>
      </c>
      <c r="N51" s="1">
        <v>0</v>
      </c>
      <c r="O51" s="1">
        <v>210</v>
      </c>
      <c r="P51" s="1" t="s">
        <v>1048</v>
      </c>
      <c r="Q51" s="1">
        <v>60</v>
      </c>
      <c r="R51" s="1" t="s">
        <v>31</v>
      </c>
      <c r="S51" s="1">
        <v>5</v>
      </c>
    </row>
    <row r="52" spans="1:19" x14ac:dyDescent="0.3">
      <c r="A52" s="1" t="s">
        <v>147</v>
      </c>
      <c r="B52" s="2">
        <v>45931</v>
      </c>
      <c r="C52" s="1" t="str">
        <f t="shared" si="0"/>
        <v>Wed</v>
      </c>
      <c r="D52" s="1" t="str">
        <f t="shared" si="1"/>
        <v>Weekday</v>
      </c>
      <c r="E52" s="3">
        <v>0.37847222222222221</v>
      </c>
      <c r="F52" s="1" t="s">
        <v>148</v>
      </c>
      <c r="G52" s="1" t="s">
        <v>28</v>
      </c>
      <c r="H52" s="1" t="s">
        <v>23</v>
      </c>
      <c r="I52" s="1" t="s">
        <v>30</v>
      </c>
      <c r="J52" s="1" t="s">
        <v>18</v>
      </c>
      <c r="K52" s="1">
        <v>6</v>
      </c>
      <c r="L52" s="1">
        <v>39</v>
      </c>
      <c r="M52" s="1">
        <v>234</v>
      </c>
      <c r="N52" s="1">
        <v>10</v>
      </c>
      <c r="O52" s="1">
        <v>224</v>
      </c>
      <c r="P52" s="1" t="s">
        <v>1048</v>
      </c>
      <c r="Q52" s="1">
        <v>10</v>
      </c>
      <c r="R52" s="1" t="s">
        <v>31</v>
      </c>
      <c r="S52" s="1">
        <v>1</v>
      </c>
    </row>
    <row r="53" spans="1:19" x14ac:dyDescent="0.3">
      <c r="A53" s="1" t="s">
        <v>149</v>
      </c>
      <c r="B53" s="2">
        <v>45666</v>
      </c>
      <c r="C53" s="1" t="str">
        <f t="shared" si="0"/>
        <v>Thu</v>
      </c>
      <c r="D53" s="1" t="str">
        <f t="shared" si="1"/>
        <v>Weekday</v>
      </c>
      <c r="E53" s="3">
        <v>0.4375</v>
      </c>
      <c r="F53" s="1" t="s">
        <v>150</v>
      </c>
      <c r="G53" s="1" t="s">
        <v>28</v>
      </c>
      <c r="H53" s="1" t="s">
        <v>29</v>
      </c>
      <c r="I53" s="1" t="s">
        <v>30</v>
      </c>
      <c r="J53" s="1" t="s">
        <v>18</v>
      </c>
      <c r="K53" s="1">
        <v>4</v>
      </c>
      <c r="L53" s="1">
        <v>64</v>
      </c>
      <c r="M53" s="1">
        <v>256</v>
      </c>
      <c r="N53" s="1">
        <v>5</v>
      </c>
      <c r="O53" s="1">
        <v>251</v>
      </c>
      <c r="P53" s="1" t="s">
        <v>38</v>
      </c>
      <c r="Q53" s="1">
        <v>17</v>
      </c>
      <c r="R53" s="1" t="s">
        <v>31</v>
      </c>
      <c r="S53" s="1">
        <v>4</v>
      </c>
    </row>
    <row r="54" spans="1:19" x14ac:dyDescent="0.3">
      <c r="A54" s="1" t="s">
        <v>151</v>
      </c>
      <c r="B54" s="2">
        <v>45962</v>
      </c>
      <c r="C54" s="1" t="str">
        <f t="shared" si="0"/>
        <v>Sat</v>
      </c>
      <c r="D54" s="1" t="str">
        <f t="shared" si="1"/>
        <v>Weekend</v>
      </c>
      <c r="E54" s="3">
        <v>0.78125</v>
      </c>
      <c r="F54" s="1" t="s">
        <v>152</v>
      </c>
      <c r="G54" s="1" t="s">
        <v>1047</v>
      </c>
      <c r="H54" s="1" t="s">
        <v>35</v>
      </c>
      <c r="I54" s="1" t="s">
        <v>74</v>
      </c>
      <c r="J54" s="1" t="s">
        <v>75</v>
      </c>
      <c r="K54" s="1">
        <v>6</v>
      </c>
      <c r="L54" s="1">
        <v>87</v>
      </c>
      <c r="M54" s="1">
        <v>522</v>
      </c>
      <c r="N54" s="1">
        <v>10</v>
      </c>
      <c r="O54" s="1">
        <v>512</v>
      </c>
      <c r="P54" s="1" t="s">
        <v>1048</v>
      </c>
      <c r="Q54" s="1">
        <v>11</v>
      </c>
      <c r="R54" s="1" t="s">
        <v>31</v>
      </c>
      <c r="S54" s="1">
        <v>5</v>
      </c>
    </row>
    <row r="55" spans="1:19" x14ac:dyDescent="0.3">
      <c r="A55" s="1" t="s">
        <v>153</v>
      </c>
      <c r="B55" s="2">
        <v>45748</v>
      </c>
      <c r="C55" s="1" t="str">
        <f t="shared" si="0"/>
        <v>Tue</v>
      </c>
      <c r="D55" s="1" t="str">
        <f t="shared" si="1"/>
        <v>Weekday</v>
      </c>
      <c r="E55" s="3">
        <v>0.4375</v>
      </c>
      <c r="F55" s="1" t="s">
        <v>154</v>
      </c>
      <c r="G55" s="1" t="s">
        <v>84</v>
      </c>
      <c r="H55" s="1" t="s">
        <v>55</v>
      </c>
      <c r="I55" s="1" t="s">
        <v>99</v>
      </c>
      <c r="J55" s="1" t="s">
        <v>100</v>
      </c>
      <c r="K55" s="1">
        <v>2</v>
      </c>
      <c r="L55" s="1">
        <v>49</v>
      </c>
      <c r="M55" s="1">
        <v>98</v>
      </c>
      <c r="N55" s="1">
        <v>0</v>
      </c>
      <c r="O55" s="1">
        <v>98</v>
      </c>
      <c r="P55" s="1" t="s">
        <v>38</v>
      </c>
      <c r="Q55" s="1">
        <v>33</v>
      </c>
      <c r="R55" s="1" t="s">
        <v>31</v>
      </c>
      <c r="S55" s="1">
        <v>1</v>
      </c>
    </row>
    <row r="56" spans="1:19" x14ac:dyDescent="0.3">
      <c r="A56" s="1" t="s">
        <v>155</v>
      </c>
      <c r="B56" s="2">
        <v>45668</v>
      </c>
      <c r="C56" s="1" t="str">
        <f t="shared" si="0"/>
        <v>Sat</v>
      </c>
      <c r="D56" s="1" t="str">
        <f t="shared" si="1"/>
        <v>Weekend</v>
      </c>
      <c r="E56" s="3">
        <v>0.37847222222222221</v>
      </c>
      <c r="F56" s="1" t="s">
        <v>156</v>
      </c>
      <c r="G56" s="1" t="s">
        <v>28</v>
      </c>
      <c r="H56" s="1" t="s">
        <v>35</v>
      </c>
      <c r="I56" s="1" t="s">
        <v>74</v>
      </c>
      <c r="J56" s="1" t="s">
        <v>75</v>
      </c>
      <c r="K56" s="1">
        <v>4</v>
      </c>
      <c r="L56" s="1">
        <v>94</v>
      </c>
      <c r="M56" s="1">
        <v>376</v>
      </c>
      <c r="N56" s="1">
        <v>0</v>
      </c>
      <c r="O56" s="1">
        <v>376</v>
      </c>
      <c r="P56" s="1" t="s">
        <v>19</v>
      </c>
      <c r="Q56" s="1">
        <v>16</v>
      </c>
      <c r="R56" s="1" t="s">
        <v>20</v>
      </c>
      <c r="S56" s="1">
        <v>5</v>
      </c>
    </row>
    <row r="57" spans="1:19" x14ac:dyDescent="0.3">
      <c r="A57" s="1" t="s">
        <v>157</v>
      </c>
      <c r="B57" s="2">
        <v>45717</v>
      </c>
      <c r="C57" s="1" t="str">
        <f t="shared" si="0"/>
        <v>Sat</v>
      </c>
      <c r="D57" s="1" t="str">
        <f t="shared" si="1"/>
        <v>Weekend</v>
      </c>
      <c r="E57" s="3">
        <v>0.78125</v>
      </c>
      <c r="F57" s="1" t="s">
        <v>158</v>
      </c>
      <c r="G57" s="1" t="s">
        <v>54</v>
      </c>
      <c r="H57" s="1" t="s">
        <v>23</v>
      </c>
      <c r="I57" s="1" t="s">
        <v>30</v>
      </c>
      <c r="J57" s="1" t="s">
        <v>18</v>
      </c>
      <c r="K57" s="1">
        <v>6</v>
      </c>
      <c r="L57" s="1">
        <v>10</v>
      </c>
      <c r="M57" s="1">
        <v>60</v>
      </c>
      <c r="N57" s="1">
        <v>10</v>
      </c>
      <c r="O57" s="1">
        <v>50</v>
      </c>
      <c r="P57" s="1" t="s">
        <v>1048</v>
      </c>
      <c r="Q57" s="1">
        <v>22</v>
      </c>
      <c r="R57" s="1" t="s">
        <v>31</v>
      </c>
      <c r="S57" s="1">
        <v>5</v>
      </c>
    </row>
    <row r="58" spans="1:19" x14ac:dyDescent="0.3">
      <c r="A58" s="1" t="s">
        <v>159</v>
      </c>
      <c r="B58" s="2">
        <v>45901</v>
      </c>
      <c r="C58" s="1" t="str">
        <f t="shared" si="0"/>
        <v>Mon</v>
      </c>
      <c r="D58" s="1" t="str">
        <f t="shared" si="1"/>
        <v>Weekday</v>
      </c>
      <c r="E58" s="3">
        <v>0.76041666666666663</v>
      </c>
      <c r="F58" s="1" t="s">
        <v>160</v>
      </c>
      <c r="G58" s="1" t="s">
        <v>48</v>
      </c>
      <c r="H58" s="1" t="s">
        <v>23</v>
      </c>
      <c r="I58" s="1" t="s">
        <v>17</v>
      </c>
      <c r="J58" s="1" t="s">
        <v>18</v>
      </c>
      <c r="K58" s="1">
        <v>4</v>
      </c>
      <c r="L58" s="1">
        <v>107</v>
      </c>
      <c r="M58" s="1">
        <v>428</v>
      </c>
      <c r="N58" s="1">
        <v>5</v>
      </c>
      <c r="O58" s="1">
        <v>423</v>
      </c>
      <c r="P58" s="1" t="s">
        <v>1048</v>
      </c>
      <c r="Q58" s="1">
        <v>42</v>
      </c>
      <c r="R58" s="1" t="s">
        <v>20</v>
      </c>
      <c r="S58" s="1"/>
    </row>
    <row r="59" spans="1:19" x14ac:dyDescent="0.3">
      <c r="A59" s="1" t="s">
        <v>161</v>
      </c>
      <c r="B59" s="2">
        <v>45689</v>
      </c>
      <c r="C59" s="1" t="str">
        <f t="shared" si="0"/>
        <v>Sat</v>
      </c>
      <c r="D59" s="1" t="str">
        <f t="shared" si="1"/>
        <v>Weekend</v>
      </c>
      <c r="E59" s="3">
        <v>0.4375</v>
      </c>
      <c r="F59" s="1" t="s">
        <v>162</v>
      </c>
      <c r="G59" s="1" t="s">
        <v>48</v>
      </c>
      <c r="H59" s="1" t="s">
        <v>64</v>
      </c>
      <c r="I59" s="1" t="s">
        <v>30</v>
      </c>
      <c r="J59" s="1" t="s">
        <v>18</v>
      </c>
      <c r="K59" s="1">
        <v>3</v>
      </c>
      <c r="L59" s="1">
        <v>95</v>
      </c>
      <c r="M59" s="1">
        <v>285</v>
      </c>
      <c r="N59" s="1">
        <v>10</v>
      </c>
      <c r="O59" s="1">
        <v>275</v>
      </c>
      <c r="P59" s="1" t="s">
        <v>1048</v>
      </c>
      <c r="Q59" s="1">
        <v>53</v>
      </c>
      <c r="R59" s="1" t="s">
        <v>31</v>
      </c>
      <c r="S59" s="1">
        <v>4</v>
      </c>
    </row>
    <row r="60" spans="1:19" x14ac:dyDescent="0.3">
      <c r="A60" s="1" t="s">
        <v>163</v>
      </c>
      <c r="B60" s="2">
        <v>45666</v>
      </c>
      <c r="C60" s="1" t="str">
        <f t="shared" si="0"/>
        <v>Thu</v>
      </c>
      <c r="D60" s="1" t="str">
        <f t="shared" si="1"/>
        <v>Weekday</v>
      </c>
      <c r="E60" s="3">
        <v>0.78125</v>
      </c>
      <c r="F60" s="1" t="s">
        <v>164</v>
      </c>
      <c r="G60" s="1" t="s">
        <v>28</v>
      </c>
      <c r="H60" s="1" t="s">
        <v>35</v>
      </c>
      <c r="I60" s="1" t="s">
        <v>24</v>
      </c>
      <c r="J60" s="1" t="s">
        <v>25</v>
      </c>
      <c r="K60" s="1">
        <v>1</v>
      </c>
      <c r="L60" s="1">
        <v>82</v>
      </c>
      <c r="M60" s="1">
        <v>82</v>
      </c>
      <c r="N60" s="1">
        <v>0</v>
      </c>
      <c r="O60" s="1">
        <v>82</v>
      </c>
      <c r="P60" s="1" t="s">
        <v>1048</v>
      </c>
      <c r="Q60" s="1">
        <v>51</v>
      </c>
      <c r="R60" s="1" t="s">
        <v>20</v>
      </c>
      <c r="S60" s="1"/>
    </row>
    <row r="61" spans="1:19" x14ac:dyDescent="0.3">
      <c r="A61" s="1" t="s">
        <v>165</v>
      </c>
      <c r="B61" s="2">
        <v>45662</v>
      </c>
      <c r="C61" s="1" t="str">
        <f t="shared" si="0"/>
        <v>Sun</v>
      </c>
      <c r="D61" s="1" t="str">
        <f t="shared" si="1"/>
        <v>Weekend</v>
      </c>
      <c r="E61" s="3">
        <v>0.76041666666666663</v>
      </c>
      <c r="F61" s="1" t="s">
        <v>166</v>
      </c>
      <c r="G61" s="1" t="s">
        <v>48</v>
      </c>
      <c r="H61" s="1" t="s">
        <v>29</v>
      </c>
      <c r="I61" s="1" t="s">
        <v>99</v>
      </c>
      <c r="J61" s="1" t="s">
        <v>100</v>
      </c>
      <c r="K61" s="1">
        <v>3</v>
      </c>
      <c r="L61" s="1">
        <v>111</v>
      </c>
      <c r="M61" s="1">
        <v>333</v>
      </c>
      <c r="N61" s="1">
        <v>10</v>
      </c>
      <c r="O61" s="1">
        <v>323</v>
      </c>
      <c r="P61" s="1" t="s">
        <v>38</v>
      </c>
      <c r="Q61" s="1">
        <v>16</v>
      </c>
      <c r="R61" s="1" t="s">
        <v>20</v>
      </c>
      <c r="S61" s="1">
        <v>2</v>
      </c>
    </row>
    <row r="62" spans="1:19" x14ac:dyDescent="0.3">
      <c r="A62" s="1" t="s">
        <v>167</v>
      </c>
      <c r="B62" s="2">
        <v>45662</v>
      </c>
      <c r="C62" s="1" t="str">
        <f t="shared" si="0"/>
        <v>Sun</v>
      </c>
      <c r="D62" s="1" t="str">
        <f t="shared" si="1"/>
        <v>Weekend</v>
      </c>
      <c r="E62" s="3">
        <v>0.76041666666666663</v>
      </c>
      <c r="F62" s="1" t="s">
        <v>168</v>
      </c>
      <c r="G62" s="1" t="s">
        <v>34</v>
      </c>
      <c r="H62" s="1" t="s">
        <v>64</v>
      </c>
      <c r="I62" s="1" t="s">
        <v>24</v>
      </c>
      <c r="J62" s="1" t="s">
        <v>25</v>
      </c>
      <c r="K62" s="1">
        <v>1</v>
      </c>
      <c r="L62" s="1">
        <v>79</v>
      </c>
      <c r="M62" s="1">
        <v>79</v>
      </c>
      <c r="N62" s="1">
        <v>0</v>
      </c>
      <c r="O62" s="1">
        <v>79</v>
      </c>
      <c r="P62" s="1" t="s">
        <v>1048</v>
      </c>
      <c r="Q62" s="1">
        <v>38</v>
      </c>
      <c r="R62" s="1" t="s">
        <v>31</v>
      </c>
      <c r="S62" s="1">
        <v>4</v>
      </c>
    </row>
    <row r="63" spans="1:19" x14ac:dyDescent="0.3">
      <c r="A63" s="1" t="s">
        <v>169</v>
      </c>
      <c r="B63" s="2">
        <v>45901</v>
      </c>
      <c r="C63" s="1" t="str">
        <f t="shared" si="0"/>
        <v>Mon</v>
      </c>
      <c r="D63" s="1" t="str">
        <f t="shared" si="1"/>
        <v>Weekday</v>
      </c>
      <c r="E63" s="3">
        <v>0.4375</v>
      </c>
      <c r="F63" s="1" t="s">
        <v>170</v>
      </c>
      <c r="G63" s="1" t="s">
        <v>28</v>
      </c>
      <c r="H63" s="1" t="s">
        <v>29</v>
      </c>
      <c r="I63" s="1" t="s">
        <v>99</v>
      </c>
      <c r="J63" s="1" t="s">
        <v>100</v>
      </c>
      <c r="K63" s="1">
        <v>5</v>
      </c>
      <c r="L63" s="1">
        <v>98</v>
      </c>
      <c r="M63" s="1">
        <v>490</v>
      </c>
      <c r="N63" s="1">
        <v>0</v>
      </c>
      <c r="O63" s="1">
        <v>490</v>
      </c>
      <c r="P63" s="1" t="s">
        <v>19</v>
      </c>
      <c r="Q63" s="1">
        <v>33</v>
      </c>
      <c r="R63" s="1" t="s">
        <v>31</v>
      </c>
      <c r="S63" s="1">
        <v>5</v>
      </c>
    </row>
    <row r="64" spans="1:19" x14ac:dyDescent="0.3">
      <c r="A64" s="1" t="s">
        <v>171</v>
      </c>
      <c r="B64" s="2">
        <v>45778</v>
      </c>
      <c r="C64" s="1" t="str">
        <f t="shared" si="0"/>
        <v>Thu</v>
      </c>
      <c r="D64" s="1" t="str">
        <f t="shared" si="1"/>
        <v>Weekday</v>
      </c>
      <c r="E64" s="3">
        <v>0.37847222222222221</v>
      </c>
      <c r="F64" s="1" t="s">
        <v>172</v>
      </c>
      <c r="G64" s="1" t="s">
        <v>28</v>
      </c>
      <c r="H64" s="1" t="s">
        <v>29</v>
      </c>
      <c r="I64" s="1" t="s">
        <v>24</v>
      </c>
      <c r="J64" s="1" t="s">
        <v>25</v>
      </c>
      <c r="K64" s="1">
        <v>1</v>
      </c>
      <c r="L64" s="1">
        <v>88</v>
      </c>
      <c r="M64" s="1">
        <v>88</v>
      </c>
      <c r="N64" s="1">
        <v>0</v>
      </c>
      <c r="O64" s="1">
        <v>88</v>
      </c>
      <c r="P64" s="1" t="s">
        <v>1049</v>
      </c>
      <c r="Q64" s="1">
        <v>11</v>
      </c>
      <c r="R64" s="1" t="s">
        <v>20</v>
      </c>
      <c r="S64" s="1"/>
    </row>
    <row r="65" spans="1:19" x14ac:dyDescent="0.3">
      <c r="A65" s="1" t="s">
        <v>173</v>
      </c>
      <c r="B65" s="2">
        <v>45689</v>
      </c>
      <c r="C65" s="1" t="str">
        <f t="shared" si="0"/>
        <v>Sat</v>
      </c>
      <c r="D65" s="1" t="str">
        <f t="shared" si="1"/>
        <v>Weekend</v>
      </c>
      <c r="E65" s="3">
        <v>0.78125</v>
      </c>
      <c r="F65" s="1" t="s">
        <v>174</v>
      </c>
      <c r="G65" s="1" t="s">
        <v>28</v>
      </c>
      <c r="H65" s="1" t="s">
        <v>73</v>
      </c>
      <c r="I65" s="1" t="s">
        <v>42</v>
      </c>
      <c r="J65" s="1" t="s">
        <v>25</v>
      </c>
      <c r="K65" s="1">
        <v>4</v>
      </c>
      <c r="L65" s="1">
        <v>47</v>
      </c>
      <c r="M65" s="1">
        <v>188</v>
      </c>
      <c r="N65" s="1">
        <v>5</v>
      </c>
      <c r="O65" s="1">
        <v>183</v>
      </c>
      <c r="P65" s="1" t="s">
        <v>1049</v>
      </c>
      <c r="Q65" s="1">
        <v>55</v>
      </c>
      <c r="R65" s="1" t="s">
        <v>31</v>
      </c>
      <c r="S65" s="1">
        <v>2</v>
      </c>
    </row>
    <row r="66" spans="1:19" x14ac:dyDescent="0.3">
      <c r="A66" s="1" t="s">
        <v>175</v>
      </c>
      <c r="B66" s="2">
        <v>45717</v>
      </c>
      <c r="C66" s="1" t="str">
        <f t="shared" ref="C66:C129" si="2">TEXT(B66,"DDD")</f>
        <v>Sat</v>
      </c>
      <c r="D66" s="1" t="str">
        <f t="shared" si="1"/>
        <v>Weekend</v>
      </c>
      <c r="E66" s="3">
        <v>0.78125</v>
      </c>
      <c r="F66" s="1" t="s">
        <v>176</v>
      </c>
      <c r="G66" s="1" t="s">
        <v>54</v>
      </c>
      <c r="H66" s="1" t="s">
        <v>29</v>
      </c>
      <c r="I66" s="1" t="s">
        <v>99</v>
      </c>
      <c r="J66" s="1" t="s">
        <v>100</v>
      </c>
      <c r="K66" s="1">
        <v>4</v>
      </c>
      <c r="L66" s="1">
        <v>19</v>
      </c>
      <c r="M66" s="1">
        <v>76</v>
      </c>
      <c r="N66" s="1">
        <v>0</v>
      </c>
      <c r="O66" s="1">
        <v>76</v>
      </c>
      <c r="P66" s="1" t="s">
        <v>19</v>
      </c>
      <c r="Q66" s="1">
        <v>55</v>
      </c>
      <c r="R66" s="1" t="s">
        <v>31</v>
      </c>
      <c r="S66" s="1">
        <v>2</v>
      </c>
    </row>
    <row r="67" spans="1:19" x14ac:dyDescent="0.3">
      <c r="A67" s="1" t="s">
        <v>177</v>
      </c>
      <c r="B67" s="2">
        <v>45809</v>
      </c>
      <c r="C67" s="1" t="str">
        <f t="shared" si="2"/>
        <v>Sun</v>
      </c>
      <c r="D67" s="1" t="str">
        <f t="shared" ref="D67:D130" si="3">IF(OR(C67="Sat",C67="Sun"),"Weekend","Weekday")</f>
        <v>Weekend</v>
      </c>
      <c r="E67" s="3">
        <v>0.37847222222222221</v>
      </c>
      <c r="F67" s="1" t="s">
        <v>178</v>
      </c>
      <c r="G67" s="1" t="s">
        <v>45</v>
      </c>
      <c r="H67" s="1" t="s">
        <v>35</v>
      </c>
      <c r="I67" s="1" t="s">
        <v>87</v>
      </c>
      <c r="J67" s="1" t="s">
        <v>88</v>
      </c>
      <c r="K67" s="1">
        <v>1</v>
      </c>
      <c r="L67" s="1">
        <v>87</v>
      </c>
      <c r="M67" s="1">
        <v>87</v>
      </c>
      <c r="N67" s="1">
        <v>10</v>
      </c>
      <c r="O67" s="1">
        <v>77</v>
      </c>
      <c r="P67" s="1" t="s">
        <v>1048</v>
      </c>
      <c r="Q67" s="1">
        <v>39</v>
      </c>
      <c r="R67" s="1" t="s">
        <v>20</v>
      </c>
      <c r="S67" s="1">
        <v>3</v>
      </c>
    </row>
    <row r="68" spans="1:19" x14ac:dyDescent="0.3">
      <c r="A68" s="1" t="s">
        <v>179</v>
      </c>
      <c r="B68" s="2">
        <v>45901</v>
      </c>
      <c r="C68" s="1" t="str">
        <f t="shared" si="2"/>
        <v>Mon</v>
      </c>
      <c r="D68" s="1" t="str">
        <f t="shared" si="3"/>
        <v>Weekday</v>
      </c>
      <c r="E68" s="3">
        <v>0.76041666666666663</v>
      </c>
      <c r="F68" s="1" t="s">
        <v>180</v>
      </c>
      <c r="G68" s="1" t="s">
        <v>28</v>
      </c>
      <c r="H68" s="1" t="s">
        <v>55</v>
      </c>
      <c r="I68" s="1" t="s">
        <v>36</v>
      </c>
      <c r="J68" s="1" t="s">
        <v>37</v>
      </c>
      <c r="K68" s="1">
        <v>5</v>
      </c>
      <c r="L68" s="1">
        <v>10</v>
      </c>
      <c r="M68" s="1">
        <v>50</v>
      </c>
      <c r="N68" s="1">
        <v>10</v>
      </c>
      <c r="O68" s="1">
        <v>40</v>
      </c>
      <c r="P68" s="1" t="s">
        <v>1049</v>
      </c>
      <c r="Q68" s="1">
        <v>32</v>
      </c>
      <c r="R68" s="1" t="s">
        <v>31</v>
      </c>
      <c r="S68" s="1">
        <v>2</v>
      </c>
    </row>
    <row r="69" spans="1:19" x14ac:dyDescent="0.3">
      <c r="A69" s="1" t="s">
        <v>181</v>
      </c>
      <c r="B69" s="2">
        <v>45689</v>
      </c>
      <c r="C69" s="1" t="str">
        <f t="shared" si="2"/>
        <v>Sat</v>
      </c>
      <c r="D69" s="1" t="str">
        <f t="shared" si="3"/>
        <v>Weekend</v>
      </c>
      <c r="E69" s="3">
        <v>0.37847222222222221</v>
      </c>
      <c r="F69" s="1" t="s">
        <v>182</v>
      </c>
      <c r="G69" s="1" t="s">
        <v>48</v>
      </c>
      <c r="H69" s="1" t="s">
        <v>73</v>
      </c>
      <c r="I69" s="1" t="s">
        <v>30</v>
      </c>
      <c r="J69" s="1" t="s">
        <v>18</v>
      </c>
      <c r="K69" s="1">
        <v>3</v>
      </c>
      <c r="L69" s="1">
        <v>109</v>
      </c>
      <c r="M69" s="1">
        <v>327</v>
      </c>
      <c r="N69" s="1">
        <v>5</v>
      </c>
      <c r="O69" s="1">
        <v>322</v>
      </c>
      <c r="P69" s="1" t="s">
        <v>38</v>
      </c>
      <c r="Q69" s="1">
        <v>30</v>
      </c>
      <c r="R69" s="1" t="s">
        <v>31</v>
      </c>
      <c r="S69" s="1">
        <v>2</v>
      </c>
    </row>
    <row r="70" spans="1:19" x14ac:dyDescent="0.3">
      <c r="A70" s="1" t="s">
        <v>183</v>
      </c>
      <c r="B70" s="2">
        <v>45748</v>
      </c>
      <c r="C70" s="1" t="str">
        <f t="shared" si="2"/>
        <v>Tue</v>
      </c>
      <c r="D70" s="1" t="str">
        <f t="shared" si="3"/>
        <v>Weekday</v>
      </c>
      <c r="E70" s="3">
        <v>0.78125</v>
      </c>
      <c r="F70" s="1" t="s">
        <v>184</v>
      </c>
      <c r="G70" s="1" t="s">
        <v>28</v>
      </c>
      <c r="H70" s="1" t="s">
        <v>55</v>
      </c>
      <c r="I70" s="1" t="s">
        <v>24</v>
      </c>
      <c r="J70" s="1" t="s">
        <v>25</v>
      </c>
      <c r="K70" s="1">
        <v>6</v>
      </c>
      <c r="L70" s="1">
        <v>62</v>
      </c>
      <c r="M70" s="1">
        <v>372</v>
      </c>
      <c r="N70" s="1">
        <v>0</v>
      </c>
      <c r="O70" s="1">
        <v>372</v>
      </c>
      <c r="P70" s="1" t="s">
        <v>1048</v>
      </c>
      <c r="Q70" s="1">
        <v>20</v>
      </c>
      <c r="R70" s="1" t="s">
        <v>31</v>
      </c>
      <c r="S70" s="1">
        <v>5</v>
      </c>
    </row>
    <row r="71" spans="1:19" x14ac:dyDescent="0.3">
      <c r="A71" s="1" t="s">
        <v>185</v>
      </c>
      <c r="B71" s="2">
        <v>45689</v>
      </c>
      <c r="C71" s="1" t="str">
        <f t="shared" si="2"/>
        <v>Sat</v>
      </c>
      <c r="D71" s="1" t="str">
        <f t="shared" si="3"/>
        <v>Weekend</v>
      </c>
      <c r="E71" s="3">
        <v>0.78125</v>
      </c>
      <c r="F71" s="1" t="s">
        <v>186</v>
      </c>
      <c r="G71" s="1" t="s">
        <v>1047</v>
      </c>
      <c r="H71" s="1" t="s">
        <v>41</v>
      </c>
      <c r="I71" s="1" t="s">
        <v>36</v>
      </c>
      <c r="J71" s="1" t="s">
        <v>37</v>
      </c>
      <c r="K71" s="1">
        <v>5</v>
      </c>
      <c r="L71" s="1">
        <v>114</v>
      </c>
      <c r="M71" s="1">
        <v>570</v>
      </c>
      <c r="N71" s="1">
        <v>10</v>
      </c>
      <c r="O71" s="1">
        <v>560</v>
      </c>
      <c r="P71" s="1" t="s">
        <v>1049</v>
      </c>
      <c r="Q71" s="1">
        <v>27</v>
      </c>
      <c r="R71" s="1" t="s">
        <v>20</v>
      </c>
      <c r="S71" s="1">
        <v>1</v>
      </c>
    </row>
    <row r="72" spans="1:19" x14ac:dyDescent="0.3">
      <c r="A72" s="1" t="s">
        <v>187</v>
      </c>
      <c r="B72" s="2">
        <v>45658</v>
      </c>
      <c r="C72" s="1" t="str">
        <f t="shared" si="2"/>
        <v>Wed</v>
      </c>
      <c r="D72" s="1" t="str">
        <f t="shared" si="3"/>
        <v>Weekday</v>
      </c>
      <c r="E72" s="3">
        <v>0.4375</v>
      </c>
      <c r="F72" s="1" t="s">
        <v>188</v>
      </c>
      <c r="G72" s="1" t="s">
        <v>28</v>
      </c>
      <c r="H72" s="1" t="s">
        <v>73</v>
      </c>
      <c r="I72" s="1" t="s">
        <v>24</v>
      </c>
      <c r="J72" s="1" t="s">
        <v>25</v>
      </c>
      <c r="K72" s="1">
        <v>3</v>
      </c>
      <c r="L72" s="1">
        <v>35</v>
      </c>
      <c r="M72" s="1">
        <v>105</v>
      </c>
      <c r="N72" s="1">
        <v>5</v>
      </c>
      <c r="O72" s="1">
        <v>100</v>
      </c>
      <c r="P72" s="1" t="s">
        <v>1048</v>
      </c>
      <c r="Q72" s="1">
        <v>35</v>
      </c>
      <c r="R72" s="1" t="s">
        <v>20</v>
      </c>
      <c r="S72" s="1">
        <v>4</v>
      </c>
    </row>
    <row r="73" spans="1:19" x14ac:dyDescent="0.3">
      <c r="A73" s="1" t="s">
        <v>189</v>
      </c>
      <c r="B73" s="2">
        <v>45717</v>
      </c>
      <c r="C73" s="1" t="str">
        <f t="shared" si="2"/>
        <v>Sat</v>
      </c>
      <c r="D73" s="1" t="str">
        <f t="shared" si="3"/>
        <v>Weekend</v>
      </c>
      <c r="E73" s="3">
        <v>0.76041666666666663</v>
      </c>
      <c r="F73" s="1" t="s">
        <v>190</v>
      </c>
      <c r="G73" s="1" t="s">
        <v>28</v>
      </c>
      <c r="H73" s="1" t="s">
        <v>35</v>
      </c>
      <c r="I73" s="1" t="s">
        <v>30</v>
      </c>
      <c r="J73" s="1" t="s">
        <v>18</v>
      </c>
      <c r="K73" s="1">
        <v>3</v>
      </c>
      <c r="L73" s="1">
        <v>77</v>
      </c>
      <c r="M73" s="1">
        <v>231</v>
      </c>
      <c r="N73" s="1">
        <v>0</v>
      </c>
      <c r="O73" s="1">
        <v>231</v>
      </c>
      <c r="P73" s="1" t="s">
        <v>1049</v>
      </c>
      <c r="Q73" s="1">
        <v>22</v>
      </c>
      <c r="R73" s="1" t="s">
        <v>31</v>
      </c>
      <c r="S73" s="1">
        <v>1</v>
      </c>
    </row>
    <row r="74" spans="1:19" x14ac:dyDescent="0.3">
      <c r="A74" s="1" t="s">
        <v>191</v>
      </c>
      <c r="B74" s="2">
        <v>45901</v>
      </c>
      <c r="C74" s="1" t="str">
        <f t="shared" si="2"/>
        <v>Mon</v>
      </c>
      <c r="D74" s="1" t="str">
        <f t="shared" si="3"/>
        <v>Weekday</v>
      </c>
      <c r="E74" s="3">
        <v>0.4375</v>
      </c>
      <c r="F74" s="1" t="s">
        <v>192</v>
      </c>
      <c r="G74" s="1" t="s">
        <v>84</v>
      </c>
      <c r="H74" s="1" t="s">
        <v>55</v>
      </c>
      <c r="I74" s="1" t="s">
        <v>36</v>
      </c>
      <c r="J74" s="1" t="s">
        <v>37</v>
      </c>
      <c r="K74" s="1">
        <v>4</v>
      </c>
      <c r="L74" s="1">
        <v>24</v>
      </c>
      <c r="M74" s="1">
        <v>96</v>
      </c>
      <c r="N74" s="1">
        <v>5</v>
      </c>
      <c r="O74" s="1">
        <v>91</v>
      </c>
      <c r="P74" s="1" t="s">
        <v>1049</v>
      </c>
      <c r="Q74" s="1">
        <v>43</v>
      </c>
      <c r="R74" s="1" t="s">
        <v>31</v>
      </c>
      <c r="S74" s="1">
        <v>4</v>
      </c>
    </row>
    <row r="75" spans="1:19" x14ac:dyDescent="0.3">
      <c r="A75" s="1" t="s">
        <v>193</v>
      </c>
      <c r="B75" s="2">
        <v>45870</v>
      </c>
      <c r="C75" s="1" t="str">
        <f t="shared" si="2"/>
        <v>Fri</v>
      </c>
      <c r="D75" s="1" t="str">
        <f t="shared" si="3"/>
        <v>Weekday</v>
      </c>
      <c r="E75" s="3">
        <v>0.78125</v>
      </c>
      <c r="F75" s="1" t="s">
        <v>194</v>
      </c>
      <c r="G75" s="1" t="s">
        <v>84</v>
      </c>
      <c r="H75" s="1" t="s">
        <v>29</v>
      </c>
      <c r="I75" s="1" t="s">
        <v>42</v>
      </c>
      <c r="J75" s="1" t="s">
        <v>25</v>
      </c>
      <c r="K75" s="1">
        <v>2</v>
      </c>
      <c r="L75" s="1">
        <v>35</v>
      </c>
      <c r="M75" s="1">
        <v>70</v>
      </c>
      <c r="N75" s="1">
        <v>5</v>
      </c>
      <c r="O75" s="1">
        <v>65</v>
      </c>
      <c r="P75" s="1" t="s">
        <v>1049</v>
      </c>
      <c r="Q75" s="1">
        <v>38</v>
      </c>
      <c r="R75" s="1" t="s">
        <v>31</v>
      </c>
      <c r="S75" s="1">
        <v>1</v>
      </c>
    </row>
    <row r="76" spans="1:19" x14ac:dyDescent="0.3">
      <c r="A76" s="1" t="s">
        <v>195</v>
      </c>
      <c r="B76" s="2">
        <v>45668</v>
      </c>
      <c r="C76" s="1" t="str">
        <f t="shared" si="2"/>
        <v>Sat</v>
      </c>
      <c r="D76" s="1" t="str">
        <f t="shared" si="3"/>
        <v>Weekend</v>
      </c>
      <c r="E76" s="3">
        <v>0.78125</v>
      </c>
      <c r="F76" s="1" t="s">
        <v>196</v>
      </c>
      <c r="G76" s="1" t="s">
        <v>28</v>
      </c>
      <c r="H76" s="1" t="s">
        <v>64</v>
      </c>
      <c r="I76" s="1" t="s">
        <v>42</v>
      </c>
      <c r="J76" s="1" t="s">
        <v>25</v>
      </c>
      <c r="K76" s="1">
        <v>4</v>
      </c>
      <c r="L76" s="1">
        <v>99</v>
      </c>
      <c r="M76" s="1">
        <v>396</v>
      </c>
      <c r="N76" s="1">
        <v>0</v>
      </c>
      <c r="O76" s="1">
        <v>396</v>
      </c>
      <c r="P76" s="1" t="s">
        <v>19</v>
      </c>
      <c r="Q76" s="1">
        <v>12</v>
      </c>
      <c r="R76" s="1" t="s">
        <v>31</v>
      </c>
      <c r="S76" s="1">
        <v>4</v>
      </c>
    </row>
    <row r="77" spans="1:19" x14ac:dyDescent="0.3">
      <c r="A77" s="1" t="s">
        <v>197</v>
      </c>
      <c r="B77" s="2">
        <v>45663</v>
      </c>
      <c r="C77" s="1" t="str">
        <f t="shared" si="2"/>
        <v>Mon</v>
      </c>
      <c r="D77" s="1" t="str">
        <f t="shared" si="3"/>
        <v>Weekday</v>
      </c>
      <c r="E77" s="3">
        <v>0.37847222222222221</v>
      </c>
      <c r="F77" s="1" t="s">
        <v>198</v>
      </c>
      <c r="G77" s="1" t="s">
        <v>84</v>
      </c>
      <c r="H77" s="1" t="s">
        <v>64</v>
      </c>
      <c r="I77" s="1" t="s">
        <v>24</v>
      </c>
      <c r="J77" s="1" t="s">
        <v>25</v>
      </c>
      <c r="K77" s="1">
        <v>1</v>
      </c>
      <c r="L77" s="1">
        <v>64</v>
      </c>
      <c r="M77" s="1">
        <v>64</v>
      </c>
      <c r="N77" s="1">
        <v>5</v>
      </c>
      <c r="O77" s="1">
        <v>59</v>
      </c>
      <c r="P77" s="1" t="s">
        <v>1049</v>
      </c>
      <c r="Q77" s="1">
        <v>29</v>
      </c>
      <c r="R77" s="1" t="s">
        <v>20</v>
      </c>
      <c r="S77" s="1"/>
    </row>
    <row r="78" spans="1:19" x14ac:dyDescent="0.3">
      <c r="A78" s="1" t="s">
        <v>199</v>
      </c>
      <c r="B78" s="2">
        <v>45962</v>
      </c>
      <c r="C78" s="1" t="str">
        <f t="shared" si="2"/>
        <v>Sat</v>
      </c>
      <c r="D78" s="1" t="str">
        <f t="shared" si="3"/>
        <v>Weekend</v>
      </c>
      <c r="E78" s="3">
        <v>0.37847222222222221</v>
      </c>
      <c r="F78" s="1" t="s">
        <v>200</v>
      </c>
      <c r="G78" s="1" t="s">
        <v>48</v>
      </c>
      <c r="H78" s="1" t="s">
        <v>16</v>
      </c>
      <c r="I78" s="1" t="s">
        <v>87</v>
      </c>
      <c r="J78" s="1" t="s">
        <v>88</v>
      </c>
      <c r="K78" s="1">
        <v>4</v>
      </c>
      <c r="L78" s="1">
        <v>66</v>
      </c>
      <c r="M78" s="1">
        <v>264</v>
      </c>
      <c r="N78" s="1">
        <v>10</v>
      </c>
      <c r="O78" s="1">
        <v>254</v>
      </c>
      <c r="P78" s="1" t="s">
        <v>38</v>
      </c>
      <c r="Q78" s="1">
        <v>31</v>
      </c>
      <c r="R78" s="1" t="s">
        <v>20</v>
      </c>
      <c r="S78" s="1">
        <v>3</v>
      </c>
    </row>
    <row r="79" spans="1:19" x14ac:dyDescent="0.3">
      <c r="A79" s="1" t="s">
        <v>201</v>
      </c>
      <c r="B79" s="2">
        <v>45748</v>
      </c>
      <c r="C79" s="1" t="str">
        <f t="shared" si="2"/>
        <v>Tue</v>
      </c>
      <c r="D79" s="1" t="str">
        <f t="shared" si="3"/>
        <v>Weekday</v>
      </c>
      <c r="E79" s="3">
        <v>0.37847222222222221</v>
      </c>
      <c r="F79" s="1" t="s">
        <v>202</v>
      </c>
      <c r="G79" s="1" t="s">
        <v>84</v>
      </c>
      <c r="H79" s="1" t="s">
        <v>29</v>
      </c>
      <c r="I79" s="1" t="s">
        <v>99</v>
      </c>
      <c r="J79" s="1" t="s">
        <v>100</v>
      </c>
      <c r="K79" s="1">
        <v>1</v>
      </c>
      <c r="L79" s="1">
        <v>120</v>
      </c>
      <c r="M79" s="1">
        <v>120</v>
      </c>
      <c r="N79" s="1">
        <v>0</v>
      </c>
      <c r="O79" s="1">
        <v>120</v>
      </c>
      <c r="P79" s="1" t="s">
        <v>1048</v>
      </c>
      <c r="Q79" s="1">
        <v>12</v>
      </c>
      <c r="R79" s="1" t="s">
        <v>20</v>
      </c>
      <c r="S79" s="1">
        <v>3</v>
      </c>
    </row>
    <row r="80" spans="1:19" x14ac:dyDescent="0.3">
      <c r="A80" s="1" t="s">
        <v>203</v>
      </c>
      <c r="B80" s="2">
        <v>45663</v>
      </c>
      <c r="C80" s="1" t="str">
        <f t="shared" si="2"/>
        <v>Mon</v>
      </c>
      <c r="D80" s="1" t="str">
        <f t="shared" si="3"/>
        <v>Weekday</v>
      </c>
      <c r="E80" s="3">
        <v>0.78125</v>
      </c>
      <c r="F80" s="1" t="s">
        <v>204</v>
      </c>
      <c r="G80" s="1" t="s">
        <v>28</v>
      </c>
      <c r="H80" s="1" t="s">
        <v>41</v>
      </c>
      <c r="I80" s="1" t="s">
        <v>30</v>
      </c>
      <c r="J80" s="1" t="s">
        <v>18</v>
      </c>
      <c r="K80" s="1">
        <v>2</v>
      </c>
      <c r="L80" s="1">
        <v>117</v>
      </c>
      <c r="M80" s="1">
        <v>234</v>
      </c>
      <c r="N80" s="1">
        <v>0</v>
      </c>
      <c r="O80" s="1">
        <v>234</v>
      </c>
      <c r="P80" s="1" t="s">
        <v>1048</v>
      </c>
      <c r="Q80" s="1">
        <v>51</v>
      </c>
      <c r="R80" s="1" t="s">
        <v>20</v>
      </c>
      <c r="S80" s="1"/>
    </row>
    <row r="81" spans="1:19" x14ac:dyDescent="0.3">
      <c r="A81" s="1" t="s">
        <v>205</v>
      </c>
      <c r="B81" s="2">
        <v>45778</v>
      </c>
      <c r="C81" s="1" t="str">
        <f t="shared" si="2"/>
        <v>Thu</v>
      </c>
      <c r="D81" s="1" t="str">
        <f t="shared" si="3"/>
        <v>Weekday</v>
      </c>
      <c r="E81" s="3">
        <v>0.78125</v>
      </c>
      <c r="F81" s="1" t="s">
        <v>206</v>
      </c>
      <c r="G81" s="1" t="s">
        <v>1047</v>
      </c>
      <c r="H81" s="1" t="s">
        <v>23</v>
      </c>
      <c r="I81" s="1" t="s">
        <v>51</v>
      </c>
      <c r="J81" s="1" t="s">
        <v>18</v>
      </c>
      <c r="K81" s="1">
        <v>2</v>
      </c>
      <c r="L81" s="1">
        <v>10</v>
      </c>
      <c r="M81" s="1">
        <v>20</v>
      </c>
      <c r="N81" s="1">
        <v>5</v>
      </c>
      <c r="O81" s="1">
        <v>15</v>
      </c>
      <c r="P81" s="1" t="s">
        <v>1048</v>
      </c>
      <c r="Q81" s="1">
        <v>51</v>
      </c>
      <c r="R81" s="1" t="s">
        <v>31</v>
      </c>
      <c r="S81" s="1"/>
    </row>
    <row r="82" spans="1:19" x14ac:dyDescent="0.3">
      <c r="A82" s="1" t="s">
        <v>207</v>
      </c>
      <c r="B82" s="2">
        <v>45748</v>
      </c>
      <c r="C82" s="1" t="str">
        <f t="shared" si="2"/>
        <v>Tue</v>
      </c>
      <c r="D82" s="1" t="str">
        <f t="shared" si="3"/>
        <v>Weekday</v>
      </c>
      <c r="E82" s="3">
        <v>0.4375</v>
      </c>
      <c r="F82" s="1" t="s">
        <v>208</v>
      </c>
      <c r="G82" s="1" t="s">
        <v>1047</v>
      </c>
      <c r="H82" s="1" t="s">
        <v>73</v>
      </c>
      <c r="I82" s="1" t="s">
        <v>99</v>
      </c>
      <c r="J82" s="1" t="s">
        <v>100</v>
      </c>
      <c r="K82" s="1">
        <v>5</v>
      </c>
      <c r="L82" s="1">
        <v>52</v>
      </c>
      <c r="M82" s="1">
        <v>270</v>
      </c>
      <c r="N82" s="1">
        <v>5</v>
      </c>
      <c r="O82" s="1">
        <v>255</v>
      </c>
      <c r="P82" s="1" t="s">
        <v>1048</v>
      </c>
      <c r="Q82" s="1">
        <v>48</v>
      </c>
      <c r="R82" s="1" t="s">
        <v>31</v>
      </c>
      <c r="S82" s="1">
        <v>3</v>
      </c>
    </row>
    <row r="83" spans="1:19" x14ac:dyDescent="0.3">
      <c r="A83" s="1" t="s">
        <v>209</v>
      </c>
      <c r="B83" s="2">
        <v>45689</v>
      </c>
      <c r="C83" s="1" t="str">
        <f t="shared" si="2"/>
        <v>Sat</v>
      </c>
      <c r="D83" s="1" t="str">
        <f t="shared" si="3"/>
        <v>Weekend</v>
      </c>
      <c r="E83" s="3">
        <v>0.4375</v>
      </c>
      <c r="F83" s="1" t="s">
        <v>210</v>
      </c>
      <c r="G83" s="1" t="s">
        <v>48</v>
      </c>
      <c r="H83" s="1" t="s">
        <v>64</v>
      </c>
      <c r="I83" s="1" t="s">
        <v>17</v>
      </c>
      <c r="J83" s="1" t="s">
        <v>18</v>
      </c>
      <c r="K83" s="1">
        <v>5</v>
      </c>
      <c r="L83" s="1">
        <v>63</v>
      </c>
      <c r="M83" s="1">
        <v>315</v>
      </c>
      <c r="N83" s="1">
        <v>0</v>
      </c>
      <c r="O83" s="1">
        <v>315</v>
      </c>
      <c r="P83" s="1" t="s">
        <v>19</v>
      </c>
      <c r="Q83" s="1">
        <v>32</v>
      </c>
      <c r="R83" s="1" t="s">
        <v>20</v>
      </c>
      <c r="S83" s="1">
        <v>2</v>
      </c>
    </row>
    <row r="84" spans="1:19" x14ac:dyDescent="0.3">
      <c r="A84" s="1" t="s">
        <v>211</v>
      </c>
      <c r="B84" s="2">
        <v>45659</v>
      </c>
      <c r="C84" s="1" t="str">
        <f t="shared" si="2"/>
        <v>Thu</v>
      </c>
      <c r="D84" s="1" t="str">
        <f t="shared" si="3"/>
        <v>Weekday</v>
      </c>
      <c r="E84" s="3">
        <v>0.78125</v>
      </c>
      <c r="F84" s="1" t="s">
        <v>212</v>
      </c>
      <c r="G84" s="1" t="s">
        <v>28</v>
      </c>
      <c r="H84" s="1" t="s">
        <v>16</v>
      </c>
      <c r="I84" s="1" t="s">
        <v>30</v>
      </c>
      <c r="J84" s="1" t="s">
        <v>18</v>
      </c>
      <c r="K84" s="1">
        <v>2</v>
      </c>
      <c r="L84" s="1">
        <v>80</v>
      </c>
      <c r="M84" s="1">
        <v>160</v>
      </c>
      <c r="N84" s="1">
        <v>10</v>
      </c>
      <c r="O84" s="1">
        <v>150</v>
      </c>
      <c r="P84" s="1" t="s">
        <v>19</v>
      </c>
      <c r="Q84" s="1">
        <v>28</v>
      </c>
      <c r="R84" s="1" t="s">
        <v>31</v>
      </c>
      <c r="S84" s="1">
        <v>1</v>
      </c>
    </row>
    <row r="85" spans="1:19" x14ac:dyDescent="0.3">
      <c r="A85" s="1" t="s">
        <v>213</v>
      </c>
      <c r="B85" s="2">
        <v>45689</v>
      </c>
      <c r="C85" s="1" t="str">
        <f t="shared" si="2"/>
        <v>Sat</v>
      </c>
      <c r="D85" s="1" t="str">
        <f t="shared" si="3"/>
        <v>Weekend</v>
      </c>
      <c r="E85" s="3">
        <v>0.4375</v>
      </c>
      <c r="F85" s="1" t="s">
        <v>214</v>
      </c>
      <c r="G85" s="1" t="s">
        <v>45</v>
      </c>
      <c r="H85" s="1" t="s">
        <v>55</v>
      </c>
      <c r="I85" s="1" t="s">
        <v>51</v>
      </c>
      <c r="J85" s="1" t="s">
        <v>18</v>
      </c>
      <c r="K85" s="1">
        <v>4</v>
      </c>
      <c r="L85" s="1">
        <v>85</v>
      </c>
      <c r="M85" s="1">
        <v>340</v>
      </c>
      <c r="N85" s="1">
        <v>10</v>
      </c>
      <c r="O85" s="1">
        <v>330</v>
      </c>
      <c r="P85" s="1" t="s">
        <v>1048</v>
      </c>
      <c r="Q85" s="1">
        <v>18</v>
      </c>
      <c r="R85" s="1" t="s">
        <v>31</v>
      </c>
      <c r="S85" s="1">
        <v>4</v>
      </c>
    </row>
    <row r="86" spans="1:19" x14ac:dyDescent="0.3">
      <c r="A86" s="1" t="s">
        <v>215</v>
      </c>
      <c r="B86" s="2">
        <v>45667</v>
      </c>
      <c r="C86" s="1" t="str">
        <f t="shared" si="2"/>
        <v>Fri</v>
      </c>
      <c r="D86" s="1" t="str">
        <f t="shared" si="3"/>
        <v>Weekday</v>
      </c>
      <c r="E86" s="3">
        <v>0.37847222222222221</v>
      </c>
      <c r="F86" s="1" t="s">
        <v>216</v>
      </c>
      <c r="G86" s="1" t="s">
        <v>84</v>
      </c>
      <c r="H86" s="1" t="s">
        <v>29</v>
      </c>
      <c r="I86" s="1" t="s">
        <v>51</v>
      </c>
      <c r="J86" s="1" t="s">
        <v>18</v>
      </c>
      <c r="K86" s="1">
        <v>5</v>
      </c>
      <c r="L86" s="1">
        <v>108</v>
      </c>
      <c r="M86" s="1">
        <v>540</v>
      </c>
      <c r="N86" s="1">
        <v>0</v>
      </c>
      <c r="O86" s="1">
        <v>540</v>
      </c>
      <c r="P86" s="1" t="s">
        <v>1049</v>
      </c>
      <c r="Q86" s="1">
        <v>24</v>
      </c>
      <c r="R86" s="1" t="s">
        <v>20</v>
      </c>
      <c r="S86" s="1">
        <v>2</v>
      </c>
    </row>
    <row r="87" spans="1:19" x14ac:dyDescent="0.3">
      <c r="A87" s="1" t="s">
        <v>217</v>
      </c>
      <c r="B87" s="2">
        <v>45901</v>
      </c>
      <c r="C87" s="1" t="str">
        <f t="shared" si="2"/>
        <v>Mon</v>
      </c>
      <c r="D87" s="1" t="str">
        <f t="shared" si="3"/>
        <v>Weekday</v>
      </c>
      <c r="E87" s="3">
        <v>0.4375</v>
      </c>
      <c r="F87" s="1" t="s">
        <v>218</v>
      </c>
      <c r="G87" s="1" t="s">
        <v>45</v>
      </c>
      <c r="H87" s="1" t="s">
        <v>41</v>
      </c>
      <c r="I87" s="1" t="s">
        <v>99</v>
      </c>
      <c r="J87" s="1" t="s">
        <v>100</v>
      </c>
      <c r="K87" s="1">
        <v>3</v>
      </c>
      <c r="L87" s="1">
        <v>69</v>
      </c>
      <c r="M87" s="1">
        <v>207</v>
      </c>
      <c r="N87" s="1">
        <v>0</v>
      </c>
      <c r="O87" s="1">
        <v>207</v>
      </c>
      <c r="P87" s="1" t="s">
        <v>38</v>
      </c>
      <c r="Q87" s="1">
        <v>32</v>
      </c>
      <c r="R87" s="1" t="s">
        <v>31</v>
      </c>
      <c r="S87" s="1">
        <v>3</v>
      </c>
    </row>
    <row r="88" spans="1:19" x14ac:dyDescent="0.3">
      <c r="A88" s="1" t="s">
        <v>219</v>
      </c>
      <c r="B88" s="2">
        <v>45668</v>
      </c>
      <c r="C88" s="1" t="str">
        <f t="shared" si="2"/>
        <v>Sat</v>
      </c>
      <c r="D88" s="1" t="str">
        <f t="shared" si="3"/>
        <v>Weekend</v>
      </c>
      <c r="E88" s="3">
        <v>0.76041666666666663</v>
      </c>
      <c r="F88" s="1" t="s">
        <v>220</v>
      </c>
      <c r="G88" s="1" t="s">
        <v>48</v>
      </c>
      <c r="H88" s="1" t="s">
        <v>41</v>
      </c>
      <c r="I88" s="1" t="s">
        <v>17</v>
      </c>
      <c r="J88" s="1" t="s">
        <v>18</v>
      </c>
      <c r="K88" s="1">
        <v>2</v>
      </c>
      <c r="L88" s="1">
        <v>89</v>
      </c>
      <c r="M88" s="1">
        <v>178</v>
      </c>
      <c r="N88" s="1">
        <v>5</v>
      </c>
      <c r="O88" s="1">
        <v>173</v>
      </c>
      <c r="P88" s="1" t="s">
        <v>1048</v>
      </c>
      <c r="Q88" s="1">
        <v>15</v>
      </c>
      <c r="R88" s="1" t="s">
        <v>31</v>
      </c>
      <c r="S88" s="1"/>
    </row>
    <row r="89" spans="1:19" x14ac:dyDescent="0.3">
      <c r="A89" s="1" t="s">
        <v>221</v>
      </c>
      <c r="B89" s="2">
        <v>45689</v>
      </c>
      <c r="C89" s="1" t="str">
        <f t="shared" si="2"/>
        <v>Sat</v>
      </c>
      <c r="D89" s="1" t="str">
        <f t="shared" si="3"/>
        <v>Weekend</v>
      </c>
      <c r="E89" s="3">
        <v>0.4375</v>
      </c>
      <c r="F89" s="1" t="s">
        <v>222</v>
      </c>
      <c r="G89" s="1" t="s">
        <v>28</v>
      </c>
      <c r="H89" s="1" t="s">
        <v>35</v>
      </c>
      <c r="I89" s="1" t="s">
        <v>42</v>
      </c>
      <c r="J89" s="1" t="s">
        <v>25</v>
      </c>
      <c r="K89" s="1">
        <v>3</v>
      </c>
      <c r="L89" s="1">
        <v>21</v>
      </c>
      <c r="M89" s="1">
        <v>63</v>
      </c>
      <c r="N89" s="1">
        <v>10</v>
      </c>
      <c r="O89" s="1">
        <v>53</v>
      </c>
      <c r="P89" s="1" t="s">
        <v>19</v>
      </c>
      <c r="Q89" s="1">
        <v>54</v>
      </c>
      <c r="R89" s="1" t="s">
        <v>31</v>
      </c>
      <c r="S89" s="1">
        <v>2</v>
      </c>
    </row>
    <row r="90" spans="1:19" x14ac:dyDescent="0.3">
      <c r="A90" s="1" t="s">
        <v>223</v>
      </c>
      <c r="B90" s="2">
        <v>45931</v>
      </c>
      <c r="C90" s="1" t="str">
        <f t="shared" si="2"/>
        <v>Wed</v>
      </c>
      <c r="D90" s="1" t="str">
        <f t="shared" si="3"/>
        <v>Weekday</v>
      </c>
      <c r="E90" s="3">
        <v>0.76041666666666663</v>
      </c>
      <c r="F90" s="1" t="s">
        <v>224</v>
      </c>
      <c r="G90" s="1" t="s">
        <v>28</v>
      </c>
      <c r="H90" s="1" t="s">
        <v>16</v>
      </c>
      <c r="I90" s="1" t="s">
        <v>99</v>
      </c>
      <c r="J90" s="1" t="s">
        <v>100</v>
      </c>
      <c r="K90" s="1">
        <v>6</v>
      </c>
      <c r="L90" s="1">
        <v>79</v>
      </c>
      <c r="M90" s="1">
        <v>474</v>
      </c>
      <c r="N90" s="1">
        <v>10</v>
      </c>
      <c r="O90" s="1">
        <v>464</v>
      </c>
      <c r="P90" s="1" t="s">
        <v>38</v>
      </c>
      <c r="Q90" s="1">
        <v>44</v>
      </c>
      <c r="R90" s="1" t="s">
        <v>31</v>
      </c>
      <c r="S90" s="1">
        <v>1</v>
      </c>
    </row>
    <row r="91" spans="1:19" x14ac:dyDescent="0.3">
      <c r="A91" s="1" t="s">
        <v>225</v>
      </c>
      <c r="B91" s="2">
        <v>45809</v>
      </c>
      <c r="C91" s="1" t="str">
        <f t="shared" si="2"/>
        <v>Sun</v>
      </c>
      <c r="D91" s="1" t="str">
        <f t="shared" si="3"/>
        <v>Weekend</v>
      </c>
      <c r="E91" s="3">
        <v>0.37847222222222221</v>
      </c>
      <c r="F91" s="1" t="s">
        <v>226</v>
      </c>
      <c r="G91" s="1" t="s">
        <v>34</v>
      </c>
      <c r="H91" s="1" t="s">
        <v>41</v>
      </c>
      <c r="I91" s="1" t="s">
        <v>30</v>
      </c>
      <c r="J91" s="1" t="s">
        <v>18</v>
      </c>
      <c r="K91" s="1">
        <v>6</v>
      </c>
      <c r="L91" s="1">
        <v>35</v>
      </c>
      <c r="M91" s="1">
        <v>210</v>
      </c>
      <c r="N91" s="1">
        <v>5</v>
      </c>
      <c r="O91" s="1">
        <v>205</v>
      </c>
      <c r="P91" s="1" t="s">
        <v>1049</v>
      </c>
      <c r="Q91" s="1">
        <v>17</v>
      </c>
      <c r="R91" s="1" t="s">
        <v>20</v>
      </c>
      <c r="S91" s="1">
        <v>2</v>
      </c>
    </row>
    <row r="92" spans="1:19" x14ac:dyDescent="0.3">
      <c r="A92" s="1" t="s">
        <v>227</v>
      </c>
      <c r="B92" s="2">
        <v>45661</v>
      </c>
      <c r="C92" s="1" t="str">
        <f t="shared" si="2"/>
        <v>Sat</v>
      </c>
      <c r="D92" s="1" t="str">
        <f t="shared" si="3"/>
        <v>Weekend</v>
      </c>
      <c r="E92" s="3">
        <v>0.76041666666666663</v>
      </c>
      <c r="F92" s="1" t="s">
        <v>228</v>
      </c>
      <c r="G92" s="1" t="s">
        <v>45</v>
      </c>
      <c r="H92" s="1" t="s">
        <v>35</v>
      </c>
      <c r="I92" s="1" t="s">
        <v>36</v>
      </c>
      <c r="J92" s="1" t="s">
        <v>37</v>
      </c>
      <c r="K92" s="1">
        <v>6</v>
      </c>
      <c r="L92" s="1">
        <v>44</v>
      </c>
      <c r="M92" s="1">
        <v>264</v>
      </c>
      <c r="N92" s="1">
        <v>5</v>
      </c>
      <c r="O92" s="1">
        <v>259</v>
      </c>
      <c r="P92" s="1" t="s">
        <v>1049</v>
      </c>
      <c r="Q92" s="1">
        <v>46</v>
      </c>
      <c r="R92" s="1" t="s">
        <v>20</v>
      </c>
      <c r="S92" s="1">
        <v>3</v>
      </c>
    </row>
    <row r="93" spans="1:19" x14ac:dyDescent="0.3">
      <c r="A93" s="1" t="s">
        <v>229</v>
      </c>
      <c r="B93" s="2">
        <v>45778</v>
      </c>
      <c r="C93" s="1" t="str">
        <f t="shared" si="2"/>
        <v>Thu</v>
      </c>
      <c r="D93" s="1" t="str">
        <f t="shared" si="3"/>
        <v>Weekday</v>
      </c>
      <c r="E93" s="3">
        <v>0.78125</v>
      </c>
      <c r="F93" s="1" t="s">
        <v>230</v>
      </c>
      <c r="G93" s="1" t="s">
        <v>28</v>
      </c>
      <c r="H93" s="1" t="s">
        <v>35</v>
      </c>
      <c r="I93" s="1" t="s">
        <v>24</v>
      </c>
      <c r="J93" s="1" t="s">
        <v>25</v>
      </c>
      <c r="K93" s="1">
        <v>5</v>
      </c>
      <c r="L93" s="1">
        <v>81</v>
      </c>
      <c r="M93" s="1">
        <v>405</v>
      </c>
      <c r="N93" s="1">
        <v>0</v>
      </c>
      <c r="O93" s="1">
        <v>405</v>
      </c>
      <c r="P93" s="1" t="s">
        <v>38</v>
      </c>
      <c r="Q93" s="1">
        <v>29</v>
      </c>
      <c r="R93" s="1" t="s">
        <v>31</v>
      </c>
      <c r="S93" s="1">
        <v>3</v>
      </c>
    </row>
    <row r="94" spans="1:19" x14ac:dyDescent="0.3">
      <c r="A94" s="1" t="s">
        <v>231</v>
      </c>
      <c r="B94" s="2">
        <v>45659</v>
      </c>
      <c r="C94" s="1" t="str">
        <f t="shared" si="2"/>
        <v>Thu</v>
      </c>
      <c r="D94" s="1" t="str">
        <f t="shared" si="3"/>
        <v>Weekday</v>
      </c>
      <c r="E94" s="3">
        <v>0.4375</v>
      </c>
      <c r="F94" s="1" t="s">
        <v>232</v>
      </c>
      <c r="G94" s="1" t="s">
        <v>34</v>
      </c>
      <c r="H94" s="1" t="s">
        <v>16</v>
      </c>
      <c r="I94" s="1" t="s">
        <v>87</v>
      </c>
      <c r="J94" s="1" t="s">
        <v>88</v>
      </c>
      <c r="K94" s="1">
        <v>2</v>
      </c>
      <c r="L94" s="1">
        <v>34</v>
      </c>
      <c r="M94" s="1">
        <v>68</v>
      </c>
      <c r="N94" s="1">
        <v>0</v>
      </c>
      <c r="O94" s="1">
        <v>68</v>
      </c>
      <c r="P94" s="1" t="s">
        <v>1048</v>
      </c>
      <c r="Q94" s="1">
        <v>17</v>
      </c>
      <c r="R94" s="1" t="s">
        <v>31</v>
      </c>
      <c r="S94" s="1">
        <v>3</v>
      </c>
    </row>
    <row r="95" spans="1:19" x14ac:dyDescent="0.3">
      <c r="A95" s="1" t="s">
        <v>233</v>
      </c>
      <c r="B95" s="2">
        <v>45658</v>
      </c>
      <c r="C95" s="1" t="str">
        <f t="shared" si="2"/>
        <v>Wed</v>
      </c>
      <c r="D95" s="1" t="str">
        <f t="shared" si="3"/>
        <v>Weekday</v>
      </c>
      <c r="E95" s="3">
        <v>0.4375</v>
      </c>
      <c r="F95" s="1" t="s">
        <v>234</v>
      </c>
      <c r="G95" s="1" t="s">
        <v>84</v>
      </c>
      <c r="H95" s="1" t="s">
        <v>55</v>
      </c>
      <c r="I95" s="1" t="s">
        <v>36</v>
      </c>
      <c r="J95" s="1" t="s">
        <v>37</v>
      </c>
      <c r="K95" s="1">
        <v>6</v>
      </c>
      <c r="L95" s="1">
        <v>39</v>
      </c>
      <c r="M95" s="1">
        <v>234</v>
      </c>
      <c r="N95" s="1">
        <v>0</v>
      </c>
      <c r="O95" s="1">
        <v>234</v>
      </c>
      <c r="P95" s="1" t="s">
        <v>1048</v>
      </c>
      <c r="Q95" s="1">
        <v>12</v>
      </c>
      <c r="R95" s="1" t="s">
        <v>20</v>
      </c>
      <c r="S95" s="1">
        <v>5</v>
      </c>
    </row>
    <row r="96" spans="1:19" x14ac:dyDescent="0.3">
      <c r="A96" s="1" t="s">
        <v>235</v>
      </c>
      <c r="B96" s="2">
        <v>45839</v>
      </c>
      <c r="C96" s="1" t="str">
        <f t="shared" si="2"/>
        <v>Tue</v>
      </c>
      <c r="D96" s="1" t="str">
        <f t="shared" si="3"/>
        <v>Weekday</v>
      </c>
      <c r="E96" s="3">
        <v>0.4375</v>
      </c>
      <c r="F96" s="1" t="s">
        <v>236</v>
      </c>
      <c r="G96" s="1" t="s">
        <v>28</v>
      </c>
      <c r="H96" s="1" t="s">
        <v>41</v>
      </c>
      <c r="I96" s="1" t="s">
        <v>36</v>
      </c>
      <c r="J96" s="1" t="s">
        <v>37</v>
      </c>
      <c r="K96" s="1">
        <v>5</v>
      </c>
      <c r="L96" s="1">
        <v>42</v>
      </c>
      <c r="M96" s="1">
        <v>210</v>
      </c>
      <c r="N96" s="1">
        <v>0</v>
      </c>
      <c r="O96" s="1">
        <v>210</v>
      </c>
      <c r="P96" s="1" t="s">
        <v>1049</v>
      </c>
      <c r="Q96" s="1">
        <v>39</v>
      </c>
      <c r="R96" s="1" t="s">
        <v>20</v>
      </c>
      <c r="S96" s="1">
        <v>5</v>
      </c>
    </row>
    <row r="97" spans="1:19" x14ac:dyDescent="0.3">
      <c r="A97" s="1" t="s">
        <v>237</v>
      </c>
      <c r="B97" s="2">
        <v>45662</v>
      </c>
      <c r="C97" s="1" t="str">
        <f t="shared" si="2"/>
        <v>Sun</v>
      </c>
      <c r="D97" s="1" t="str">
        <f t="shared" si="3"/>
        <v>Weekend</v>
      </c>
      <c r="E97" s="3">
        <v>0.37847222222222221</v>
      </c>
      <c r="F97" s="1" t="s">
        <v>238</v>
      </c>
      <c r="G97" s="1" t="s">
        <v>34</v>
      </c>
      <c r="H97" s="1" t="s">
        <v>73</v>
      </c>
      <c r="I97" s="1" t="s">
        <v>24</v>
      </c>
      <c r="J97" s="1" t="s">
        <v>25</v>
      </c>
      <c r="K97" s="1">
        <v>4</v>
      </c>
      <c r="L97" s="1">
        <v>44</v>
      </c>
      <c r="M97" s="1">
        <v>176</v>
      </c>
      <c r="N97" s="1">
        <v>10</v>
      </c>
      <c r="O97" s="1">
        <v>166</v>
      </c>
      <c r="P97" s="1" t="s">
        <v>1048</v>
      </c>
      <c r="Q97" s="1">
        <v>27</v>
      </c>
      <c r="R97" s="1" t="s">
        <v>31</v>
      </c>
      <c r="S97" s="1">
        <v>5</v>
      </c>
    </row>
    <row r="98" spans="1:19" x14ac:dyDescent="0.3">
      <c r="A98" s="1" t="s">
        <v>239</v>
      </c>
      <c r="B98" s="2">
        <v>45748</v>
      </c>
      <c r="C98" s="1" t="str">
        <f t="shared" si="2"/>
        <v>Tue</v>
      </c>
      <c r="D98" s="1" t="str">
        <f t="shared" si="3"/>
        <v>Weekday</v>
      </c>
      <c r="E98" s="3">
        <v>0.37847222222222221</v>
      </c>
      <c r="F98" s="1" t="s">
        <v>240</v>
      </c>
      <c r="G98" s="1" t="s">
        <v>1047</v>
      </c>
      <c r="H98" s="1" t="s">
        <v>35</v>
      </c>
      <c r="I98" s="1" t="s">
        <v>99</v>
      </c>
      <c r="J98" s="1" t="s">
        <v>100</v>
      </c>
      <c r="K98" s="1">
        <v>5</v>
      </c>
      <c r="L98" s="1">
        <v>91</v>
      </c>
      <c r="M98" s="1">
        <v>455</v>
      </c>
      <c r="N98" s="1">
        <v>5</v>
      </c>
      <c r="O98" s="1">
        <v>450</v>
      </c>
      <c r="P98" s="1" t="s">
        <v>1049</v>
      </c>
      <c r="Q98" s="1">
        <v>12</v>
      </c>
      <c r="R98" s="1" t="s">
        <v>31</v>
      </c>
      <c r="S98" s="1">
        <v>2</v>
      </c>
    </row>
    <row r="99" spans="1:19" x14ac:dyDescent="0.3">
      <c r="A99" s="1" t="s">
        <v>241</v>
      </c>
      <c r="B99" s="2">
        <v>45931</v>
      </c>
      <c r="C99" s="1" t="str">
        <f t="shared" si="2"/>
        <v>Wed</v>
      </c>
      <c r="D99" s="1" t="str">
        <f t="shared" si="3"/>
        <v>Weekday</v>
      </c>
      <c r="E99" s="3">
        <v>0.4375</v>
      </c>
      <c r="F99" s="1" t="s">
        <v>242</v>
      </c>
      <c r="G99" s="1" t="s">
        <v>28</v>
      </c>
      <c r="H99" s="1" t="s">
        <v>16</v>
      </c>
      <c r="I99" s="1" t="s">
        <v>36</v>
      </c>
      <c r="J99" s="1" t="s">
        <v>37</v>
      </c>
      <c r="K99" s="1">
        <v>5</v>
      </c>
      <c r="L99" s="1">
        <v>58</v>
      </c>
      <c r="M99" s="1">
        <v>290</v>
      </c>
      <c r="N99" s="1">
        <v>10</v>
      </c>
      <c r="O99" s="1">
        <v>280</v>
      </c>
      <c r="P99" s="1" t="s">
        <v>19</v>
      </c>
      <c r="Q99" s="1">
        <v>43</v>
      </c>
      <c r="R99" s="1" t="s">
        <v>31</v>
      </c>
      <c r="S99" s="1">
        <v>2</v>
      </c>
    </row>
    <row r="100" spans="1:19" x14ac:dyDescent="0.3">
      <c r="A100" s="1" t="s">
        <v>243</v>
      </c>
      <c r="B100" s="2">
        <v>45662</v>
      </c>
      <c r="C100" s="1" t="str">
        <f t="shared" si="2"/>
        <v>Sun</v>
      </c>
      <c r="D100" s="1" t="str">
        <f t="shared" si="3"/>
        <v>Weekend</v>
      </c>
      <c r="E100" s="3">
        <v>0.4375</v>
      </c>
      <c r="F100" s="1" t="s">
        <v>244</v>
      </c>
      <c r="G100" s="1" t="s">
        <v>84</v>
      </c>
      <c r="H100" s="1" t="s">
        <v>23</v>
      </c>
      <c r="I100" s="1" t="s">
        <v>51</v>
      </c>
      <c r="J100" s="1" t="s">
        <v>18</v>
      </c>
      <c r="K100" s="1">
        <v>1</v>
      </c>
      <c r="L100" s="1">
        <v>111</v>
      </c>
      <c r="M100" s="1">
        <v>111</v>
      </c>
      <c r="N100" s="1">
        <v>0</v>
      </c>
      <c r="O100" s="1">
        <v>111</v>
      </c>
      <c r="P100" s="1" t="s">
        <v>1048</v>
      </c>
      <c r="Q100" s="1">
        <v>18</v>
      </c>
      <c r="R100" s="1" t="s">
        <v>31</v>
      </c>
      <c r="S100" s="1">
        <v>1</v>
      </c>
    </row>
    <row r="101" spans="1:19" x14ac:dyDescent="0.3">
      <c r="A101" s="1" t="s">
        <v>245</v>
      </c>
      <c r="B101" s="2">
        <v>45663</v>
      </c>
      <c r="C101" s="1" t="str">
        <f t="shared" si="2"/>
        <v>Mon</v>
      </c>
      <c r="D101" s="1" t="str">
        <f t="shared" si="3"/>
        <v>Weekday</v>
      </c>
      <c r="E101" s="3">
        <v>0.78125</v>
      </c>
      <c r="F101" s="1" t="s">
        <v>246</v>
      </c>
      <c r="G101" s="1" t="s">
        <v>28</v>
      </c>
      <c r="H101" s="1" t="s">
        <v>64</v>
      </c>
      <c r="I101" s="1" t="s">
        <v>36</v>
      </c>
      <c r="J101" s="1" t="s">
        <v>37</v>
      </c>
      <c r="K101" s="1">
        <v>4</v>
      </c>
      <c r="L101" s="1">
        <v>24</v>
      </c>
      <c r="M101" s="1">
        <v>96</v>
      </c>
      <c r="N101" s="1">
        <v>0</v>
      </c>
      <c r="O101" s="1">
        <v>96</v>
      </c>
      <c r="P101" s="1" t="s">
        <v>1048</v>
      </c>
      <c r="Q101" s="1">
        <v>47</v>
      </c>
      <c r="R101" s="1" t="s">
        <v>20</v>
      </c>
      <c r="S101" s="1">
        <v>4</v>
      </c>
    </row>
    <row r="102" spans="1:19" x14ac:dyDescent="0.3">
      <c r="A102" s="1" t="s">
        <v>247</v>
      </c>
      <c r="B102" s="2">
        <v>45901</v>
      </c>
      <c r="C102" s="1" t="str">
        <f t="shared" si="2"/>
        <v>Mon</v>
      </c>
      <c r="D102" s="1" t="str">
        <f t="shared" si="3"/>
        <v>Weekday</v>
      </c>
      <c r="E102" s="3">
        <v>0.37847222222222221</v>
      </c>
      <c r="F102" s="1" t="s">
        <v>248</v>
      </c>
      <c r="G102" s="1" t="s">
        <v>48</v>
      </c>
      <c r="H102" s="1" t="s">
        <v>16</v>
      </c>
      <c r="I102" s="1" t="s">
        <v>24</v>
      </c>
      <c r="J102" s="1" t="s">
        <v>25</v>
      </c>
      <c r="K102" s="1">
        <v>3</v>
      </c>
      <c r="L102" s="1">
        <v>25</v>
      </c>
      <c r="M102" s="1">
        <v>75</v>
      </c>
      <c r="N102" s="1">
        <v>0</v>
      </c>
      <c r="O102" s="1">
        <v>75</v>
      </c>
      <c r="P102" s="1" t="s">
        <v>1049</v>
      </c>
      <c r="Q102" s="1">
        <v>21</v>
      </c>
      <c r="R102" s="1" t="s">
        <v>20</v>
      </c>
      <c r="S102" s="1">
        <v>2</v>
      </c>
    </row>
    <row r="103" spans="1:19" x14ac:dyDescent="0.3">
      <c r="A103" s="1" t="s">
        <v>249</v>
      </c>
      <c r="B103" s="2">
        <v>45901</v>
      </c>
      <c r="C103" s="1" t="str">
        <f t="shared" si="2"/>
        <v>Mon</v>
      </c>
      <c r="D103" s="1" t="str">
        <f t="shared" si="3"/>
        <v>Weekday</v>
      </c>
      <c r="E103" s="3">
        <v>0.37847222222222221</v>
      </c>
      <c r="F103" s="1" t="s">
        <v>250</v>
      </c>
      <c r="G103" s="1" t="s">
        <v>84</v>
      </c>
      <c r="H103" s="1" t="s">
        <v>64</v>
      </c>
      <c r="I103" s="1" t="s">
        <v>36</v>
      </c>
      <c r="J103" s="1" t="s">
        <v>37</v>
      </c>
      <c r="K103" s="1">
        <v>6</v>
      </c>
      <c r="L103" s="1">
        <v>103</v>
      </c>
      <c r="M103" s="1">
        <v>618</v>
      </c>
      <c r="N103" s="1">
        <v>0</v>
      </c>
      <c r="O103" s="1">
        <v>618</v>
      </c>
      <c r="P103" s="1" t="s">
        <v>38</v>
      </c>
      <c r="Q103" s="1">
        <v>35</v>
      </c>
      <c r="R103" s="1" t="s">
        <v>31</v>
      </c>
      <c r="S103" s="1">
        <v>1</v>
      </c>
    </row>
    <row r="104" spans="1:19" x14ac:dyDescent="0.3">
      <c r="A104" s="1" t="s">
        <v>251</v>
      </c>
      <c r="B104" s="2">
        <v>45662</v>
      </c>
      <c r="C104" s="1" t="str">
        <f t="shared" si="2"/>
        <v>Sun</v>
      </c>
      <c r="D104" s="1" t="str">
        <f t="shared" si="3"/>
        <v>Weekend</v>
      </c>
      <c r="E104" s="3">
        <v>0.37847222222222221</v>
      </c>
      <c r="F104" s="1" t="s">
        <v>252</v>
      </c>
      <c r="G104" s="1" t="s">
        <v>54</v>
      </c>
      <c r="H104" s="1" t="s">
        <v>23</v>
      </c>
      <c r="I104" s="1" t="s">
        <v>24</v>
      </c>
      <c r="J104" s="1" t="s">
        <v>25</v>
      </c>
      <c r="K104" s="1">
        <v>4</v>
      </c>
      <c r="L104" s="1">
        <v>59</v>
      </c>
      <c r="M104" s="1">
        <v>236</v>
      </c>
      <c r="N104" s="1">
        <v>0</v>
      </c>
      <c r="O104" s="1">
        <v>236</v>
      </c>
      <c r="P104" s="1" t="s">
        <v>1048</v>
      </c>
      <c r="Q104" s="1">
        <v>27</v>
      </c>
      <c r="R104" s="1" t="s">
        <v>20</v>
      </c>
      <c r="S104" s="1"/>
    </row>
    <row r="105" spans="1:19" x14ac:dyDescent="0.3">
      <c r="A105" s="1" t="s">
        <v>253</v>
      </c>
      <c r="B105" s="2">
        <v>45668</v>
      </c>
      <c r="C105" s="1" t="str">
        <f t="shared" si="2"/>
        <v>Sat</v>
      </c>
      <c r="D105" s="1" t="str">
        <f t="shared" si="3"/>
        <v>Weekend</v>
      </c>
      <c r="E105" s="3">
        <v>0.76041666666666663</v>
      </c>
      <c r="F105" s="1" t="s">
        <v>254</v>
      </c>
      <c r="G105" s="1" t="s">
        <v>34</v>
      </c>
      <c r="H105" s="1" t="s">
        <v>73</v>
      </c>
      <c r="I105" s="1" t="s">
        <v>17</v>
      </c>
      <c r="J105" s="1" t="s">
        <v>18</v>
      </c>
      <c r="K105" s="1">
        <v>4</v>
      </c>
      <c r="L105" s="1">
        <v>73</v>
      </c>
      <c r="M105" s="1">
        <v>292</v>
      </c>
      <c r="N105" s="1">
        <v>0</v>
      </c>
      <c r="O105" s="1">
        <v>292</v>
      </c>
      <c r="P105" s="1" t="s">
        <v>19</v>
      </c>
      <c r="Q105" s="1">
        <v>51</v>
      </c>
      <c r="R105" s="1" t="s">
        <v>31</v>
      </c>
      <c r="S105" s="1">
        <v>1</v>
      </c>
    </row>
    <row r="106" spans="1:19" x14ac:dyDescent="0.3">
      <c r="A106" s="1" t="s">
        <v>255</v>
      </c>
      <c r="B106" s="2">
        <v>45901</v>
      </c>
      <c r="C106" s="1" t="str">
        <f t="shared" si="2"/>
        <v>Mon</v>
      </c>
      <c r="D106" s="1" t="str">
        <f t="shared" si="3"/>
        <v>Weekday</v>
      </c>
      <c r="E106" s="3">
        <v>0.37847222222222221</v>
      </c>
      <c r="F106" s="1" t="s">
        <v>256</v>
      </c>
      <c r="G106" s="1" t="s">
        <v>45</v>
      </c>
      <c r="H106" s="1" t="s">
        <v>29</v>
      </c>
      <c r="I106" s="1" t="s">
        <v>42</v>
      </c>
      <c r="J106" s="1" t="s">
        <v>25</v>
      </c>
      <c r="K106" s="1">
        <v>1</v>
      </c>
      <c r="L106" s="1">
        <v>105</v>
      </c>
      <c r="M106" s="1">
        <v>105</v>
      </c>
      <c r="N106" s="1">
        <v>10</v>
      </c>
      <c r="O106" s="1">
        <v>95</v>
      </c>
      <c r="P106" s="1" t="s">
        <v>19</v>
      </c>
      <c r="Q106" s="1">
        <v>38</v>
      </c>
      <c r="R106" s="1" t="s">
        <v>31</v>
      </c>
      <c r="S106" s="1"/>
    </row>
    <row r="107" spans="1:19" x14ac:dyDescent="0.3">
      <c r="A107" s="1" t="s">
        <v>257</v>
      </c>
      <c r="B107" s="2">
        <v>45662</v>
      </c>
      <c r="C107" s="1" t="str">
        <f t="shared" si="2"/>
        <v>Sun</v>
      </c>
      <c r="D107" s="1" t="str">
        <f t="shared" si="3"/>
        <v>Weekend</v>
      </c>
      <c r="E107" s="3">
        <v>0.78125</v>
      </c>
      <c r="F107" s="1" t="s">
        <v>258</v>
      </c>
      <c r="G107" s="1" t="s">
        <v>28</v>
      </c>
      <c r="H107" s="1" t="s">
        <v>35</v>
      </c>
      <c r="I107" s="1" t="s">
        <v>17</v>
      </c>
      <c r="J107" s="1" t="s">
        <v>18</v>
      </c>
      <c r="K107" s="1">
        <v>1</v>
      </c>
      <c r="L107" s="1">
        <v>35</v>
      </c>
      <c r="M107" s="1">
        <v>35</v>
      </c>
      <c r="N107" s="1">
        <v>0</v>
      </c>
      <c r="O107" s="1">
        <v>35</v>
      </c>
      <c r="P107" s="1" t="s">
        <v>1048</v>
      </c>
      <c r="Q107" s="1">
        <v>42</v>
      </c>
      <c r="R107" s="1" t="s">
        <v>31</v>
      </c>
      <c r="S107" s="1">
        <v>5</v>
      </c>
    </row>
    <row r="108" spans="1:19" x14ac:dyDescent="0.3">
      <c r="A108" s="1" t="s">
        <v>259</v>
      </c>
      <c r="B108" s="2">
        <v>45809</v>
      </c>
      <c r="C108" s="1" t="str">
        <f t="shared" si="2"/>
        <v>Sun</v>
      </c>
      <c r="D108" s="1" t="str">
        <f t="shared" si="3"/>
        <v>Weekend</v>
      </c>
      <c r="E108" s="3">
        <v>0.4375</v>
      </c>
      <c r="F108" s="1" t="s">
        <v>260</v>
      </c>
      <c r="G108" s="1" t="s">
        <v>54</v>
      </c>
      <c r="H108" s="1" t="s">
        <v>16</v>
      </c>
      <c r="I108" s="1" t="s">
        <v>30</v>
      </c>
      <c r="J108" s="1" t="s">
        <v>18</v>
      </c>
      <c r="K108" s="1">
        <v>4</v>
      </c>
      <c r="L108" s="1">
        <v>94</v>
      </c>
      <c r="M108" s="1">
        <v>376</v>
      </c>
      <c r="N108" s="1">
        <v>5</v>
      </c>
      <c r="O108" s="1">
        <v>371</v>
      </c>
      <c r="P108" s="1" t="s">
        <v>38</v>
      </c>
      <c r="Q108" s="1">
        <v>51</v>
      </c>
      <c r="R108" s="1" t="s">
        <v>20</v>
      </c>
      <c r="S108" s="1"/>
    </row>
    <row r="109" spans="1:19" x14ac:dyDescent="0.3">
      <c r="A109" s="1" t="s">
        <v>261</v>
      </c>
      <c r="B109" s="2">
        <v>45717</v>
      </c>
      <c r="C109" s="1" t="str">
        <f t="shared" si="2"/>
        <v>Sat</v>
      </c>
      <c r="D109" s="1" t="str">
        <f t="shared" si="3"/>
        <v>Weekend</v>
      </c>
      <c r="E109" s="3">
        <v>0.37847222222222221</v>
      </c>
      <c r="F109" s="1" t="s">
        <v>262</v>
      </c>
      <c r="G109" s="1" t="s">
        <v>34</v>
      </c>
      <c r="H109" s="1" t="s">
        <v>55</v>
      </c>
      <c r="I109" s="1" t="s">
        <v>74</v>
      </c>
      <c r="J109" s="1" t="s">
        <v>75</v>
      </c>
      <c r="K109" s="1">
        <v>6</v>
      </c>
      <c r="L109" s="1">
        <v>57</v>
      </c>
      <c r="M109" s="1">
        <v>342</v>
      </c>
      <c r="N109" s="1">
        <v>5</v>
      </c>
      <c r="O109" s="1">
        <v>337</v>
      </c>
      <c r="P109" s="1" t="s">
        <v>19</v>
      </c>
      <c r="Q109" s="1">
        <v>13</v>
      </c>
      <c r="R109" s="1" t="s">
        <v>31</v>
      </c>
      <c r="S109" s="1">
        <v>3</v>
      </c>
    </row>
    <row r="110" spans="1:19" x14ac:dyDescent="0.3">
      <c r="A110" s="1" t="s">
        <v>263</v>
      </c>
      <c r="B110" s="2">
        <v>45962</v>
      </c>
      <c r="C110" s="1" t="str">
        <f t="shared" si="2"/>
        <v>Sat</v>
      </c>
      <c r="D110" s="1" t="str">
        <f t="shared" si="3"/>
        <v>Weekend</v>
      </c>
      <c r="E110" s="3">
        <v>0.4375</v>
      </c>
      <c r="F110" s="1" t="s">
        <v>264</v>
      </c>
      <c r="G110" s="1" t="s">
        <v>45</v>
      </c>
      <c r="H110" s="1" t="s">
        <v>64</v>
      </c>
      <c r="I110" s="1" t="s">
        <v>24</v>
      </c>
      <c r="J110" s="1" t="s">
        <v>25</v>
      </c>
      <c r="K110" s="1">
        <v>3</v>
      </c>
      <c r="L110" s="1">
        <v>77</v>
      </c>
      <c r="M110" s="1">
        <v>231</v>
      </c>
      <c r="N110" s="1">
        <v>10</v>
      </c>
      <c r="O110" s="1">
        <v>221</v>
      </c>
      <c r="P110" s="1" t="s">
        <v>1049</v>
      </c>
      <c r="Q110" s="1">
        <v>41</v>
      </c>
      <c r="R110" s="1" t="s">
        <v>20</v>
      </c>
      <c r="S110" s="1">
        <v>1</v>
      </c>
    </row>
    <row r="111" spans="1:19" x14ac:dyDescent="0.3">
      <c r="A111" s="1" t="s">
        <v>265</v>
      </c>
      <c r="B111" s="2">
        <v>45748</v>
      </c>
      <c r="C111" s="1" t="str">
        <f t="shared" si="2"/>
        <v>Tue</v>
      </c>
      <c r="D111" s="1" t="str">
        <f t="shared" si="3"/>
        <v>Weekday</v>
      </c>
      <c r="E111" s="3">
        <v>0.37847222222222221</v>
      </c>
      <c r="F111" s="1" t="s">
        <v>266</v>
      </c>
      <c r="G111" s="1" t="s">
        <v>48</v>
      </c>
      <c r="H111" s="1" t="s">
        <v>41</v>
      </c>
      <c r="I111" s="1" t="s">
        <v>30</v>
      </c>
      <c r="J111" s="1" t="s">
        <v>18</v>
      </c>
      <c r="K111" s="1">
        <v>4</v>
      </c>
      <c r="L111" s="1">
        <v>36</v>
      </c>
      <c r="M111" s="1">
        <v>144</v>
      </c>
      <c r="N111" s="1">
        <v>0</v>
      </c>
      <c r="O111" s="1">
        <v>144</v>
      </c>
      <c r="P111" s="1" t="s">
        <v>1049</v>
      </c>
      <c r="Q111" s="1">
        <v>20</v>
      </c>
      <c r="R111" s="1" t="s">
        <v>20</v>
      </c>
      <c r="S111" s="1">
        <v>2</v>
      </c>
    </row>
    <row r="112" spans="1:19" x14ac:dyDescent="0.3">
      <c r="A112" s="1" t="s">
        <v>267</v>
      </c>
      <c r="B112" s="2">
        <v>45668</v>
      </c>
      <c r="C112" s="1" t="str">
        <f t="shared" si="2"/>
        <v>Sat</v>
      </c>
      <c r="D112" s="1" t="str">
        <f t="shared" si="3"/>
        <v>Weekend</v>
      </c>
      <c r="E112" s="3">
        <v>0.4375</v>
      </c>
      <c r="F112" s="1" t="s">
        <v>268</v>
      </c>
      <c r="G112" s="1" t="s">
        <v>28</v>
      </c>
      <c r="H112" s="1" t="s">
        <v>29</v>
      </c>
      <c r="I112" s="1" t="s">
        <v>36</v>
      </c>
      <c r="J112" s="1" t="s">
        <v>37</v>
      </c>
      <c r="K112" s="1">
        <v>5</v>
      </c>
      <c r="L112" s="1">
        <v>64</v>
      </c>
      <c r="M112" s="1">
        <v>320</v>
      </c>
      <c r="N112" s="1">
        <v>0</v>
      </c>
      <c r="O112" s="1">
        <v>320</v>
      </c>
      <c r="P112" s="1" t="s">
        <v>19</v>
      </c>
      <c r="Q112" s="1">
        <v>46</v>
      </c>
      <c r="R112" s="1" t="s">
        <v>20</v>
      </c>
      <c r="S112" s="1">
        <v>3</v>
      </c>
    </row>
    <row r="113" spans="1:19" x14ac:dyDescent="0.3">
      <c r="A113" s="1" t="s">
        <v>269</v>
      </c>
      <c r="B113" s="2">
        <v>45668</v>
      </c>
      <c r="C113" s="1" t="str">
        <f t="shared" si="2"/>
        <v>Sat</v>
      </c>
      <c r="D113" s="1" t="str">
        <f t="shared" si="3"/>
        <v>Weekend</v>
      </c>
      <c r="E113" s="3">
        <v>0.4375</v>
      </c>
      <c r="F113" s="1" t="s">
        <v>270</v>
      </c>
      <c r="G113" s="1" t="s">
        <v>48</v>
      </c>
      <c r="H113" s="1" t="s">
        <v>73</v>
      </c>
      <c r="I113" s="1" t="s">
        <v>24</v>
      </c>
      <c r="J113" s="1" t="s">
        <v>25</v>
      </c>
      <c r="K113" s="1">
        <v>2</v>
      </c>
      <c r="L113" s="1">
        <v>31</v>
      </c>
      <c r="M113" s="1">
        <v>62</v>
      </c>
      <c r="N113" s="1">
        <v>0</v>
      </c>
      <c r="O113" s="1">
        <v>62</v>
      </c>
      <c r="P113" s="1" t="s">
        <v>1048</v>
      </c>
      <c r="Q113" s="1">
        <v>47</v>
      </c>
      <c r="R113" s="1" t="s">
        <v>20</v>
      </c>
      <c r="S113" s="1">
        <v>1</v>
      </c>
    </row>
    <row r="114" spans="1:19" x14ac:dyDescent="0.3">
      <c r="A114" s="1" t="s">
        <v>271</v>
      </c>
      <c r="B114" s="2">
        <v>45717</v>
      </c>
      <c r="C114" s="1" t="str">
        <f t="shared" si="2"/>
        <v>Sat</v>
      </c>
      <c r="D114" s="1" t="str">
        <f t="shared" si="3"/>
        <v>Weekend</v>
      </c>
      <c r="E114" s="3">
        <v>0.76041666666666663</v>
      </c>
      <c r="F114" s="1" t="s">
        <v>272</v>
      </c>
      <c r="G114" s="1" t="s">
        <v>1047</v>
      </c>
      <c r="H114" s="1" t="s">
        <v>64</v>
      </c>
      <c r="I114" s="1" t="s">
        <v>51</v>
      </c>
      <c r="J114" s="1" t="s">
        <v>18</v>
      </c>
      <c r="K114" s="1">
        <v>5</v>
      </c>
      <c r="L114" s="1">
        <v>81</v>
      </c>
      <c r="M114" s="1">
        <v>405</v>
      </c>
      <c r="N114" s="1">
        <v>10</v>
      </c>
      <c r="O114" s="1">
        <v>395</v>
      </c>
      <c r="P114" s="1" t="s">
        <v>1048</v>
      </c>
      <c r="Q114" s="1">
        <v>27</v>
      </c>
      <c r="R114" s="1" t="s">
        <v>31</v>
      </c>
      <c r="S114" s="1">
        <v>3</v>
      </c>
    </row>
    <row r="115" spans="1:19" x14ac:dyDescent="0.3">
      <c r="A115" s="1" t="s">
        <v>273</v>
      </c>
      <c r="B115" s="2">
        <v>45689</v>
      </c>
      <c r="C115" s="1" t="str">
        <f t="shared" si="2"/>
        <v>Sat</v>
      </c>
      <c r="D115" s="1" t="str">
        <f t="shared" si="3"/>
        <v>Weekend</v>
      </c>
      <c r="E115" s="3">
        <v>0.78125</v>
      </c>
      <c r="F115" s="1" t="s">
        <v>274</v>
      </c>
      <c r="G115" s="1" t="s">
        <v>34</v>
      </c>
      <c r="H115" s="1" t="s">
        <v>16</v>
      </c>
      <c r="I115" s="1" t="s">
        <v>24</v>
      </c>
      <c r="J115" s="1" t="s">
        <v>25</v>
      </c>
      <c r="K115" s="1">
        <v>6</v>
      </c>
      <c r="L115" s="1">
        <v>27</v>
      </c>
      <c r="M115" s="1">
        <v>162</v>
      </c>
      <c r="N115" s="1">
        <v>0</v>
      </c>
      <c r="O115" s="1">
        <v>162</v>
      </c>
      <c r="P115" s="1" t="s">
        <v>1048</v>
      </c>
      <c r="Q115" s="1">
        <v>29</v>
      </c>
      <c r="R115" s="1" t="s">
        <v>31</v>
      </c>
      <c r="S115" s="1">
        <v>5</v>
      </c>
    </row>
    <row r="116" spans="1:19" x14ac:dyDescent="0.3">
      <c r="A116" s="1" t="s">
        <v>275</v>
      </c>
      <c r="B116" s="2">
        <v>45778</v>
      </c>
      <c r="C116" s="1" t="str">
        <f t="shared" si="2"/>
        <v>Thu</v>
      </c>
      <c r="D116" s="1" t="str">
        <f t="shared" si="3"/>
        <v>Weekday</v>
      </c>
      <c r="E116" s="3">
        <v>0.78125</v>
      </c>
      <c r="F116" s="1" t="s">
        <v>276</v>
      </c>
      <c r="G116" s="1" t="s">
        <v>1047</v>
      </c>
      <c r="H116" s="1" t="s">
        <v>41</v>
      </c>
      <c r="I116" s="1" t="s">
        <v>30</v>
      </c>
      <c r="J116" s="1" t="s">
        <v>18</v>
      </c>
      <c r="K116" s="1">
        <v>2</v>
      </c>
      <c r="L116" s="1">
        <v>86</v>
      </c>
      <c r="M116" s="1">
        <v>172</v>
      </c>
      <c r="N116" s="1">
        <v>0</v>
      </c>
      <c r="O116" s="1">
        <v>172</v>
      </c>
      <c r="P116" s="1" t="s">
        <v>38</v>
      </c>
      <c r="Q116" s="1">
        <v>16</v>
      </c>
      <c r="R116" s="1" t="s">
        <v>20</v>
      </c>
      <c r="S116" s="1">
        <v>2</v>
      </c>
    </row>
    <row r="117" spans="1:19" x14ac:dyDescent="0.3">
      <c r="A117" s="1" t="s">
        <v>277</v>
      </c>
      <c r="B117" s="2">
        <v>45962</v>
      </c>
      <c r="C117" s="1" t="str">
        <f t="shared" si="2"/>
        <v>Sat</v>
      </c>
      <c r="D117" s="1" t="str">
        <f t="shared" si="3"/>
        <v>Weekend</v>
      </c>
      <c r="E117" s="3">
        <v>0.37847222222222221</v>
      </c>
      <c r="F117" s="1" t="s">
        <v>278</v>
      </c>
      <c r="G117" s="1" t="s">
        <v>54</v>
      </c>
      <c r="H117" s="1" t="s">
        <v>41</v>
      </c>
      <c r="I117" s="1" t="s">
        <v>17</v>
      </c>
      <c r="J117" s="1" t="s">
        <v>18</v>
      </c>
      <c r="K117" s="1">
        <v>1</v>
      </c>
      <c r="L117" s="1">
        <v>88</v>
      </c>
      <c r="M117" s="1">
        <v>88</v>
      </c>
      <c r="N117" s="1">
        <v>5</v>
      </c>
      <c r="O117" s="1">
        <v>83</v>
      </c>
      <c r="P117" s="1" t="s">
        <v>1048</v>
      </c>
      <c r="Q117" s="1">
        <v>12</v>
      </c>
      <c r="R117" s="1" t="s">
        <v>31</v>
      </c>
      <c r="S117" s="1">
        <v>1</v>
      </c>
    </row>
    <row r="118" spans="1:19" x14ac:dyDescent="0.3">
      <c r="A118" s="1" t="s">
        <v>279</v>
      </c>
      <c r="B118" s="2">
        <v>45659</v>
      </c>
      <c r="C118" s="1" t="str">
        <f t="shared" si="2"/>
        <v>Thu</v>
      </c>
      <c r="D118" s="1" t="str">
        <f t="shared" si="3"/>
        <v>Weekday</v>
      </c>
      <c r="E118" s="3">
        <v>0.4375</v>
      </c>
      <c r="F118" s="1" t="s">
        <v>280</v>
      </c>
      <c r="G118" s="1" t="s">
        <v>1047</v>
      </c>
      <c r="H118" s="1" t="s">
        <v>55</v>
      </c>
      <c r="I118" s="1" t="s">
        <v>87</v>
      </c>
      <c r="J118" s="1" t="s">
        <v>88</v>
      </c>
      <c r="K118" s="1">
        <v>3</v>
      </c>
      <c r="L118" s="1">
        <v>31</v>
      </c>
      <c r="M118" s="1">
        <v>93</v>
      </c>
      <c r="N118" s="1">
        <v>0</v>
      </c>
      <c r="O118" s="1">
        <v>93</v>
      </c>
      <c r="P118" s="1" t="s">
        <v>38</v>
      </c>
      <c r="Q118" s="1">
        <v>57</v>
      </c>
      <c r="R118" s="1" t="s">
        <v>31</v>
      </c>
      <c r="S118" s="1">
        <v>2</v>
      </c>
    </row>
    <row r="119" spans="1:19" x14ac:dyDescent="0.3">
      <c r="A119" s="1" t="s">
        <v>281</v>
      </c>
      <c r="B119" s="2">
        <v>45717</v>
      </c>
      <c r="C119" s="1" t="str">
        <f t="shared" si="2"/>
        <v>Sat</v>
      </c>
      <c r="D119" s="1" t="str">
        <f t="shared" si="3"/>
        <v>Weekend</v>
      </c>
      <c r="E119" s="3">
        <v>0.4375</v>
      </c>
      <c r="F119" s="1" t="s">
        <v>282</v>
      </c>
      <c r="G119" s="1" t="s">
        <v>34</v>
      </c>
      <c r="H119" s="1" t="s">
        <v>35</v>
      </c>
      <c r="I119" s="1" t="s">
        <v>74</v>
      </c>
      <c r="J119" s="1" t="s">
        <v>75</v>
      </c>
      <c r="K119" s="1">
        <v>2</v>
      </c>
      <c r="L119" s="1">
        <v>97</v>
      </c>
      <c r="M119" s="1">
        <v>194</v>
      </c>
      <c r="N119" s="1">
        <v>10</v>
      </c>
      <c r="O119" s="1">
        <v>184</v>
      </c>
      <c r="P119" s="1" t="s">
        <v>19</v>
      </c>
      <c r="Q119" s="1">
        <v>45</v>
      </c>
      <c r="R119" s="1" t="s">
        <v>20</v>
      </c>
      <c r="S119" s="1">
        <v>3</v>
      </c>
    </row>
    <row r="120" spans="1:19" x14ac:dyDescent="0.3">
      <c r="A120" s="1" t="s">
        <v>283</v>
      </c>
      <c r="B120" s="2">
        <v>45901</v>
      </c>
      <c r="C120" s="1" t="str">
        <f t="shared" si="2"/>
        <v>Mon</v>
      </c>
      <c r="D120" s="1" t="str">
        <f t="shared" si="3"/>
        <v>Weekday</v>
      </c>
      <c r="E120" s="3">
        <v>0.76041666666666663</v>
      </c>
      <c r="F120" s="1" t="s">
        <v>284</v>
      </c>
      <c r="G120" s="1" t="s">
        <v>28</v>
      </c>
      <c r="H120" s="1" t="s">
        <v>55</v>
      </c>
      <c r="I120" s="1" t="s">
        <v>99</v>
      </c>
      <c r="J120" s="1" t="s">
        <v>100</v>
      </c>
      <c r="K120" s="1">
        <v>5</v>
      </c>
      <c r="L120" s="1">
        <v>13</v>
      </c>
      <c r="M120" s="1">
        <v>65</v>
      </c>
      <c r="N120" s="1">
        <v>0</v>
      </c>
      <c r="O120" s="1">
        <v>65</v>
      </c>
      <c r="P120" s="1" t="s">
        <v>38</v>
      </c>
      <c r="Q120" s="1">
        <v>40</v>
      </c>
      <c r="R120" s="1" t="s">
        <v>31</v>
      </c>
      <c r="S120" s="1">
        <v>2</v>
      </c>
    </row>
    <row r="121" spans="1:19" x14ac:dyDescent="0.3">
      <c r="A121" s="1" t="s">
        <v>285</v>
      </c>
      <c r="B121" s="2">
        <v>45717</v>
      </c>
      <c r="C121" s="1" t="str">
        <f t="shared" si="2"/>
        <v>Sat</v>
      </c>
      <c r="D121" s="1" t="str">
        <f t="shared" si="3"/>
        <v>Weekend</v>
      </c>
      <c r="E121" s="3">
        <v>0.76041666666666663</v>
      </c>
      <c r="F121" s="1" t="s">
        <v>286</v>
      </c>
      <c r="G121" s="1" t="s">
        <v>28</v>
      </c>
      <c r="H121" s="1" t="s">
        <v>55</v>
      </c>
      <c r="I121" s="1" t="s">
        <v>74</v>
      </c>
      <c r="J121" s="1" t="s">
        <v>75</v>
      </c>
      <c r="K121" s="1">
        <v>5</v>
      </c>
      <c r="L121" s="1">
        <v>60</v>
      </c>
      <c r="M121" s="1">
        <v>300</v>
      </c>
      <c r="N121" s="1">
        <v>5</v>
      </c>
      <c r="O121" s="1">
        <v>295</v>
      </c>
      <c r="P121" s="1" t="s">
        <v>19</v>
      </c>
      <c r="Q121" s="1">
        <v>27</v>
      </c>
      <c r="R121" s="1" t="s">
        <v>31</v>
      </c>
      <c r="S121" s="1">
        <v>2</v>
      </c>
    </row>
    <row r="122" spans="1:19" x14ac:dyDescent="0.3">
      <c r="A122" s="1" t="s">
        <v>287</v>
      </c>
      <c r="B122" s="2">
        <v>45658</v>
      </c>
      <c r="C122" s="1" t="str">
        <f t="shared" si="2"/>
        <v>Wed</v>
      </c>
      <c r="D122" s="1" t="str">
        <f t="shared" si="3"/>
        <v>Weekday</v>
      </c>
      <c r="E122" s="3">
        <v>0.37847222222222221</v>
      </c>
      <c r="F122" s="1" t="s">
        <v>288</v>
      </c>
      <c r="G122" s="1" t="s">
        <v>28</v>
      </c>
      <c r="H122" s="1" t="s">
        <v>73</v>
      </c>
      <c r="I122" s="1" t="s">
        <v>17</v>
      </c>
      <c r="J122" s="1" t="s">
        <v>18</v>
      </c>
      <c r="K122" s="1">
        <v>5</v>
      </c>
      <c r="L122" s="1">
        <v>15</v>
      </c>
      <c r="M122" s="1">
        <v>75</v>
      </c>
      <c r="N122" s="1">
        <v>0</v>
      </c>
      <c r="O122" s="1">
        <v>75</v>
      </c>
      <c r="P122" s="1" t="s">
        <v>19</v>
      </c>
      <c r="Q122" s="1">
        <v>27</v>
      </c>
      <c r="R122" s="1" t="s">
        <v>31</v>
      </c>
      <c r="S122" s="1">
        <v>4</v>
      </c>
    </row>
    <row r="123" spans="1:19" x14ac:dyDescent="0.3">
      <c r="A123" s="1" t="s">
        <v>289</v>
      </c>
      <c r="B123" s="2">
        <v>45839</v>
      </c>
      <c r="C123" s="1" t="str">
        <f t="shared" si="2"/>
        <v>Tue</v>
      </c>
      <c r="D123" s="1" t="str">
        <f t="shared" si="3"/>
        <v>Weekday</v>
      </c>
      <c r="E123" s="3">
        <v>0.76041666666666663</v>
      </c>
      <c r="F123" s="1" t="s">
        <v>290</v>
      </c>
      <c r="G123" s="1" t="s">
        <v>34</v>
      </c>
      <c r="H123" s="1" t="s">
        <v>41</v>
      </c>
      <c r="I123" s="1" t="s">
        <v>42</v>
      </c>
      <c r="J123" s="1" t="s">
        <v>25</v>
      </c>
      <c r="K123" s="1">
        <v>3</v>
      </c>
      <c r="L123" s="1">
        <v>13</v>
      </c>
      <c r="M123" s="1">
        <v>39</v>
      </c>
      <c r="N123" s="1">
        <v>5</v>
      </c>
      <c r="O123" s="1">
        <v>34</v>
      </c>
      <c r="P123" s="1" t="s">
        <v>38</v>
      </c>
      <c r="Q123" s="1">
        <v>34</v>
      </c>
      <c r="R123" s="1" t="s">
        <v>31</v>
      </c>
      <c r="S123" s="1">
        <v>3</v>
      </c>
    </row>
    <row r="124" spans="1:19" x14ac:dyDescent="0.3">
      <c r="A124" s="1" t="s">
        <v>291</v>
      </c>
      <c r="B124" s="2">
        <v>45962</v>
      </c>
      <c r="C124" s="1" t="str">
        <f t="shared" si="2"/>
        <v>Sat</v>
      </c>
      <c r="D124" s="1" t="str">
        <f t="shared" si="3"/>
        <v>Weekend</v>
      </c>
      <c r="E124" s="3">
        <v>0.37847222222222221</v>
      </c>
      <c r="F124" s="1" t="s">
        <v>292</v>
      </c>
      <c r="G124" s="1" t="s">
        <v>28</v>
      </c>
      <c r="H124" s="1" t="s">
        <v>23</v>
      </c>
      <c r="I124" s="1" t="s">
        <v>30</v>
      </c>
      <c r="J124" s="1" t="s">
        <v>18</v>
      </c>
      <c r="K124" s="1">
        <v>3</v>
      </c>
      <c r="L124" s="1">
        <v>113</v>
      </c>
      <c r="M124" s="1">
        <v>339</v>
      </c>
      <c r="N124" s="1">
        <v>0</v>
      </c>
      <c r="O124" s="1">
        <v>339</v>
      </c>
      <c r="P124" s="1" t="s">
        <v>1048</v>
      </c>
      <c r="Q124" s="1">
        <v>26</v>
      </c>
      <c r="R124" s="1" t="s">
        <v>31</v>
      </c>
      <c r="S124" s="1">
        <v>2</v>
      </c>
    </row>
    <row r="125" spans="1:19" x14ac:dyDescent="0.3">
      <c r="A125" s="1" t="s">
        <v>293</v>
      </c>
      <c r="B125" s="2">
        <v>45778</v>
      </c>
      <c r="C125" s="1" t="str">
        <f t="shared" si="2"/>
        <v>Thu</v>
      </c>
      <c r="D125" s="1" t="str">
        <f t="shared" si="3"/>
        <v>Weekday</v>
      </c>
      <c r="E125" s="3">
        <v>0.4375</v>
      </c>
      <c r="F125" s="1" t="s">
        <v>294</v>
      </c>
      <c r="G125" s="1" t="s">
        <v>28</v>
      </c>
      <c r="H125" s="1" t="s">
        <v>35</v>
      </c>
      <c r="I125" s="1" t="s">
        <v>24</v>
      </c>
      <c r="J125" s="1" t="s">
        <v>25</v>
      </c>
      <c r="K125" s="1">
        <v>4</v>
      </c>
      <c r="L125" s="1">
        <v>114</v>
      </c>
      <c r="M125" s="1">
        <v>456</v>
      </c>
      <c r="N125" s="1">
        <v>0</v>
      </c>
      <c r="O125" s="1">
        <v>456</v>
      </c>
      <c r="P125" s="1" t="s">
        <v>1049</v>
      </c>
      <c r="Q125" s="1">
        <v>47</v>
      </c>
      <c r="R125" s="1" t="s">
        <v>20</v>
      </c>
      <c r="S125" s="1">
        <v>5</v>
      </c>
    </row>
    <row r="126" spans="1:19" x14ac:dyDescent="0.3">
      <c r="A126" s="1" t="s">
        <v>295</v>
      </c>
      <c r="B126" s="2">
        <v>45664</v>
      </c>
      <c r="C126" s="1" t="str">
        <f t="shared" si="2"/>
        <v>Tue</v>
      </c>
      <c r="D126" s="1" t="str">
        <f t="shared" si="3"/>
        <v>Weekday</v>
      </c>
      <c r="E126" s="3">
        <v>0.76041666666666663</v>
      </c>
      <c r="F126" s="1" t="s">
        <v>296</v>
      </c>
      <c r="G126" s="1" t="s">
        <v>54</v>
      </c>
      <c r="H126" s="1" t="s">
        <v>64</v>
      </c>
      <c r="I126" s="1" t="s">
        <v>42</v>
      </c>
      <c r="J126" s="1" t="s">
        <v>25</v>
      </c>
      <c r="K126" s="1">
        <v>4</v>
      </c>
      <c r="L126" s="1">
        <v>40</v>
      </c>
      <c r="M126" s="1">
        <v>160</v>
      </c>
      <c r="N126" s="1">
        <v>0</v>
      </c>
      <c r="O126" s="1">
        <v>160</v>
      </c>
      <c r="P126" s="1" t="s">
        <v>1048</v>
      </c>
      <c r="Q126" s="1">
        <v>22</v>
      </c>
      <c r="R126" s="1" t="s">
        <v>31</v>
      </c>
      <c r="S126" s="1"/>
    </row>
    <row r="127" spans="1:19" x14ac:dyDescent="0.3">
      <c r="A127" s="1" t="s">
        <v>297</v>
      </c>
      <c r="B127" s="2">
        <v>45931</v>
      </c>
      <c r="C127" s="1" t="str">
        <f t="shared" si="2"/>
        <v>Wed</v>
      </c>
      <c r="D127" s="1" t="str">
        <f t="shared" si="3"/>
        <v>Weekday</v>
      </c>
      <c r="E127" s="3">
        <v>0.78125</v>
      </c>
      <c r="F127" s="1" t="s">
        <v>298</v>
      </c>
      <c r="G127" s="1" t="s">
        <v>34</v>
      </c>
      <c r="H127" s="1" t="s">
        <v>73</v>
      </c>
      <c r="I127" s="1" t="s">
        <v>42</v>
      </c>
      <c r="J127" s="1" t="s">
        <v>25</v>
      </c>
      <c r="K127" s="1">
        <v>6</v>
      </c>
      <c r="L127" s="1">
        <v>56</v>
      </c>
      <c r="M127" s="1">
        <v>336</v>
      </c>
      <c r="N127" s="1">
        <v>0</v>
      </c>
      <c r="O127" s="1">
        <v>336</v>
      </c>
      <c r="P127" s="1" t="s">
        <v>19</v>
      </c>
      <c r="Q127" s="1">
        <v>15</v>
      </c>
      <c r="R127" s="1" t="s">
        <v>31</v>
      </c>
      <c r="S127" s="1"/>
    </row>
    <row r="128" spans="1:19" x14ac:dyDescent="0.3">
      <c r="A128" s="1" t="s">
        <v>299</v>
      </c>
      <c r="B128" s="2">
        <v>45748</v>
      </c>
      <c r="C128" s="1" t="str">
        <f t="shared" si="2"/>
        <v>Tue</v>
      </c>
      <c r="D128" s="1" t="str">
        <f t="shared" si="3"/>
        <v>Weekday</v>
      </c>
      <c r="E128" s="3">
        <v>0.37847222222222221</v>
      </c>
      <c r="F128" s="1" t="s">
        <v>300</v>
      </c>
      <c r="G128" s="1" t="s">
        <v>48</v>
      </c>
      <c r="H128" s="1" t="s">
        <v>29</v>
      </c>
      <c r="I128" s="1" t="s">
        <v>74</v>
      </c>
      <c r="J128" s="1" t="s">
        <v>75</v>
      </c>
      <c r="K128" s="1">
        <v>6</v>
      </c>
      <c r="L128" s="1">
        <v>78</v>
      </c>
      <c r="M128" s="1">
        <v>468</v>
      </c>
      <c r="N128" s="1">
        <v>5</v>
      </c>
      <c r="O128" s="1">
        <v>463</v>
      </c>
      <c r="P128" s="1" t="s">
        <v>38</v>
      </c>
      <c r="Q128" s="1">
        <v>22</v>
      </c>
      <c r="R128" s="1" t="s">
        <v>20</v>
      </c>
      <c r="S128" s="1">
        <v>1</v>
      </c>
    </row>
    <row r="129" spans="1:19" x14ac:dyDescent="0.3">
      <c r="A129" s="1" t="s">
        <v>301</v>
      </c>
      <c r="B129" s="2">
        <v>45717</v>
      </c>
      <c r="C129" s="1" t="str">
        <f t="shared" si="2"/>
        <v>Sat</v>
      </c>
      <c r="D129" s="1" t="str">
        <f t="shared" si="3"/>
        <v>Weekend</v>
      </c>
      <c r="E129" s="3">
        <v>0.4375</v>
      </c>
      <c r="F129" s="1" t="s">
        <v>302</v>
      </c>
      <c r="G129" s="1" t="s">
        <v>28</v>
      </c>
      <c r="H129" s="1" t="s">
        <v>55</v>
      </c>
      <c r="I129" s="1" t="s">
        <v>36</v>
      </c>
      <c r="J129" s="1" t="s">
        <v>37</v>
      </c>
      <c r="K129" s="1">
        <v>1</v>
      </c>
      <c r="L129" s="1">
        <v>32</v>
      </c>
      <c r="M129" s="1">
        <v>32</v>
      </c>
      <c r="N129" s="1">
        <v>10</v>
      </c>
      <c r="O129" s="1">
        <v>22</v>
      </c>
      <c r="P129" s="1" t="s">
        <v>19</v>
      </c>
      <c r="Q129" s="1">
        <v>18</v>
      </c>
      <c r="R129" s="1" t="s">
        <v>31</v>
      </c>
      <c r="S129" s="1">
        <v>3</v>
      </c>
    </row>
    <row r="130" spans="1:19" x14ac:dyDescent="0.3">
      <c r="A130" s="1" t="s">
        <v>303</v>
      </c>
      <c r="B130" s="2">
        <v>45689</v>
      </c>
      <c r="C130" s="1" t="str">
        <f t="shared" ref="C130:C193" si="4">TEXT(B130,"DDD")</f>
        <v>Sat</v>
      </c>
      <c r="D130" s="1" t="str">
        <f t="shared" si="3"/>
        <v>Weekend</v>
      </c>
      <c r="E130" s="3">
        <v>0.76041666666666663</v>
      </c>
      <c r="F130" s="1" t="s">
        <v>304</v>
      </c>
      <c r="G130" s="1" t="s">
        <v>1047</v>
      </c>
      <c r="H130" s="1" t="s">
        <v>16</v>
      </c>
      <c r="I130" s="1" t="s">
        <v>87</v>
      </c>
      <c r="J130" s="1" t="s">
        <v>88</v>
      </c>
      <c r="K130" s="1">
        <v>1</v>
      </c>
      <c r="L130" s="1">
        <v>44</v>
      </c>
      <c r="M130" s="1">
        <v>44</v>
      </c>
      <c r="N130" s="1">
        <v>0</v>
      </c>
      <c r="O130" s="1">
        <v>44</v>
      </c>
      <c r="P130" s="1" t="s">
        <v>19</v>
      </c>
      <c r="Q130" s="1">
        <v>21</v>
      </c>
      <c r="R130" s="1" t="s">
        <v>31</v>
      </c>
      <c r="S130" s="1">
        <v>1</v>
      </c>
    </row>
    <row r="131" spans="1:19" x14ac:dyDescent="0.3">
      <c r="A131" s="1" t="s">
        <v>305</v>
      </c>
      <c r="B131" s="2">
        <v>45809</v>
      </c>
      <c r="C131" s="1" t="str">
        <f t="shared" si="4"/>
        <v>Sun</v>
      </c>
      <c r="D131" s="1" t="str">
        <f t="shared" ref="D131:D194" si="5">IF(OR(C131="Sat",C131="Sun"),"Weekend","Weekday")</f>
        <v>Weekend</v>
      </c>
      <c r="E131" s="3">
        <v>0.78125</v>
      </c>
      <c r="F131" s="1" t="s">
        <v>306</v>
      </c>
      <c r="G131" s="1" t="s">
        <v>84</v>
      </c>
      <c r="H131" s="1" t="s">
        <v>29</v>
      </c>
      <c r="I131" s="1" t="s">
        <v>42</v>
      </c>
      <c r="J131" s="1" t="s">
        <v>25</v>
      </c>
      <c r="K131" s="1">
        <v>3</v>
      </c>
      <c r="L131" s="1">
        <v>103</v>
      </c>
      <c r="M131" s="1">
        <v>309</v>
      </c>
      <c r="N131" s="1">
        <v>0</v>
      </c>
      <c r="O131" s="1">
        <v>309</v>
      </c>
      <c r="P131" s="1" t="s">
        <v>19</v>
      </c>
      <c r="Q131" s="1">
        <v>10</v>
      </c>
      <c r="R131" s="1" t="s">
        <v>31</v>
      </c>
      <c r="S131" s="1">
        <v>2</v>
      </c>
    </row>
    <row r="132" spans="1:19" x14ac:dyDescent="0.3">
      <c r="A132" s="1" t="s">
        <v>307</v>
      </c>
      <c r="B132" s="2">
        <v>45662</v>
      </c>
      <c r="C132" s="1" t="str">
        <f t="shared" si="4"/>
        <v>Sun</v>
      </c>
      <c r="D132" s="1" t="str">
        <f t="shared" si="5"/>
        <v>Weekend</v>
      </c>
      <c r="E132" s="3">
        <v>0.78125</v>
      </c>
      <c r="F132" s="1" t="s">
        <v>308</v>
      </c>
      <c r="G132" s="1" t="s">
        <v>54</v>
      </c>
      <c r="H132" s="1" t="s">
        <v>73</v>
      </c>
      <c r="I132" s="1" t="s">
        <v>17</v>
      </c>
      <c r="J132" s="1" t="s">
        <v>18</v>
      </c>
      <c r="K132" s="1">
        <v>4</v>
      </c>
      <c r="L132" s="1">
        <v>118</v>
      </c>
      <c r="M132" s="1">
        <v>472</v>
      </c>
      <c r="N132" s="1">
        <v>0</v>
      </c>
      <c r="O132" s="1">
        <v>472</v>
      </c>
      <c r="P132" s="1" t="s">
        <v>1048</v>
      </c>
      <c r="Q132" s="1">
        <v>28</v>
      </c>
      <c r="R132" s="1" t="s">
        <v>31</v>
      </c>
      <c r="S132" s="1"/>
    </row>
    <row r="133" spans="1:19" x14ac:dyDescent="0.3">
      <c r="A133" s="1" t="s">
        <v>309</v>
      </c>
      <c r="B133" s="2">
        <v>45717</v>
      </c>
      <c r="C133" s="1" t="str">
        <f t="shared" si="4"/>
        <v>Sat</v>
      </c>
      <c r="D133" s="1" t="str">
        <f t="shared" si="5"/>
        <v>Weekend</v>
      </c>
      <c r="E133" s="3">
        <v>0.4375</v>
      </c>
      <c r="F133" s="1" t="s">
        <v>310</v>
      </c>
      <c r="G133" s="1" t="s">
        <v>1047</v>
      </c>
      <c r="H133" s="1" t="s">
        <v>29</v>
      </c>
      <c r="I133" s="1" t="s">
        <v>17</v>
      </c>
      <c r="J133" s="1" t="s">
        <v>18</v>
      </c>
      <c r="K133" s="1">
        <v>6</v>
      </c>
      <c r="L133" s="1">
        <v>104</v>
      </c>
      <c r="M133" s="1">
        <v>624</v>
      </c>
      <c r="N133" s="1">
        <v>0</v>
      </c>
      <c r="O133" s="1">
        <v>624</v>
      </c>
      <c r="P133" s="1" t="s">
        <v>1048</v>
      </c>
      <c r="Q133" s="1">
        <v>23</v>
      </c>
      <c r="R133" s="1" t="s">
        <v>31</v>
      </c>
      <c r="S133" s="1">
        <v>2</v>
      </c>
    </row>
    <row r="134" spans="1:19" x14ac:dyDescent="0.3">
      <c r="A134" s="1" t="s">
        <v>311</v>
      </c>
      <c r="B134" s="2">
        <v>45901</v>
      </c>
      <c r="C134" s="1" t="str">
        <f t="shared" si="4"/>
        <v>Mon</v>
      </c>
      <c r="D134" s="1" t="str">
        <f t="shared" si="5"/>
        <v>Weekday</v>
      </c>
      <c r="E134" s="3">
        <v>0.4375</v>
      </c>
      <c r="F134" s="1" t="s">
        <v>312</v>
      </c>
      <c r="G134" s="1" t="s">
        <v>84</v>
      </c>
      <c r="H134" s="1" t="s">
        <v>73</v>
      </c>
      <c r="I134" s="1" t="s">
        <v>24</v>
      </c>
      <c r="J134" s="1" t="s">
        <v>25</v>
      </c>
      <c r="K134" s="1">
        <v>1</v>
      </c>
      <c r="L134" s="1">
        <v>43</v>
      </c>
      <c r="M134" s="1">
        <v>43</v>
      </c>
      <c r="N134" s="1">
        <v>5</v>
      </c>
      <c r="O134" s="1">
        <v>38</v>
      </c>
      <c r="P134" s="1" t="s">
        <v>19</v>
      </c>
      <c r="Q134" s="1">
        <v>59</v>
      </c>
      <c r="R134" s="1" t="s">
        <v>31</v>
      </c>
      <c r="S134" s="1">
        <v>4</v>
      </c>
    </row>
    <row r="135" spans="1:19" x14ac:dyDescent="0.3">
      <c r="A135" s="1" t="s">
        <v>313</v>
      </c>
      <c r="B135" s="2">
        <v>45931</v>
      </c>
      <c r="C135" s="1" t="str">
        <f t="shared" si="4"/>
        <v>Wed</v>
      </c>
      <c r="D135" s="1" t="str">
        <f t="shared" si="5"/>
        <v>Weekday</v>
      </c>
      <c r="E135" s="3">
        <v>0.76041666666666663</v>
      </c>
      <c r="F135" s="1" t="s">
        <v>314</v>
      </c>
      <c r="G135" s="1" t="s">
        <v>28</v>
      </c>
      <c r="H135" s="1" t="s">
        <v>23</v>
      </c>
      <c r="I135" s="1" t="s">
        <v>87</v>
      </c>
      <c r="J135" s="1" t="s">
        <v>88</v>
      </c>
      <c r="K135" s="1">
        <v>3</v>
      </c>
      <c r="L135" s="1">
        <v>88</v>
      </c>
      <c r="M135" s="1">
        <v>264</v>
      </c>
      <c r="N135" s="1">
        <v>5</v>
      </c>
      <c r="O135" s="1">
        <v>259</v>
      </c>
      <c r="P135" s="1" t="s">
        <v>1049</v>
      </c>
      <c r="Q135" s="1">
        <v>51</v>
      </c>
      <c r="R135" s="1" t="s">
        <v>31</v>
      </c>
      <c r="S135" s="1">
        <v>2</v>
      </c>
    </row>
    <row r="136" spans="1:19" x14ac:dyDescent="0.3">
      <c r="A136" s="1" t="s">
        <v>315</v>
      </c>
      <c r="B136" s="2">
        <v>45778</v>
      </c>
      <c r="C136" s="1" t="str">
        <f t="shared" si="4"/>
        <v>Thu</v>
      </c>
      <c r="D136" s="1" t="str">
        <f t="shared" si="5"/>
        <v>Weekday</v>
      </c>
      <c r="E136" s="3">
        <v>0.37847222222222221</v>
      </c>
      <c r="F136" s="1" t="s">
        <v>316</v>
      </c>
      <c r="G136" s="1" t="s">
        <v>28</v>
      </c>
      <c r="H136" s="1" t="s">
        <v>55</v>
      </c>
      <c r="I136" s="1" t="s">
        <v>51</v>
      </c>
      <c r="J136" s="1" t="s">
        <v>18</v>
      </c>
      <c r="K136" s="1">
        <v>5</v>
      </c>
      <c r="L136" s="1">
        <v>21</v>
      </c>
      <c r="M136" s="1">
        <v>115</v>
      </c>
      <c r="N136" s="1">
        <v>5</v>
      </c>
      <c r="O136" s="1">
        <v>100</v>
      </c>
      <c r="P136" s="1" t="s">
        <v>1048</v>
      </c>
      <c r="Q136" s="1">
        <v>47</v>
      </c>
      <c r="R136" s="1" t="s">
        <v>20</v>
      </c>
      <c r="S136" s="1">
        <v>2</v>
      </c>
    </row>
    <row r="137" spans="1:19" x14ac:dyDescent="0.3">
      <c r="A137" s="1" t="s">
        <v>317</v>
      </c>
      <c r="B137" s="2">
        <v>45661</v>
      </c>
      <c r="C137" s="1" t="str">
        <f t="shared" si="4"/>
        <v>Sat</v>
      </c>
      <c r="D137" s="1" t="str">
        <f t="shared" si="5"/>
        <v>Weekend</v>
      </c>
      <c r="E137" s="3">
        <v>0.4375</v>
      </c>
      <c r="F137" s="1" t="s">
        <v>318</v>
      </c>
      <c r="G137" s="1" t="s">
        <v>28</v>
      </c>
      <c r="H137" s="1" t="s">
        <v>16</v>
      </c>
      <c r="I137" s="1" t="s">
        <v>87</v>
      </c>
      <c r="J137" s="1" t="s">
        <v>88</v>
      </c>
      <c r="K137" s="1">
        <v>2</v>
      </c>
      <c r="L137" s="1">
        <v>34</v>
      </c>
      <c r="M137" s="1">
        <v>68</v>
      </c>
      <c r="N137" s="1">
        <v>5</v>
      </c>
      <c r="O137" s="1">
        <v>63</v>
      </c>
      <c r="P137" s="1" t="s">
        <v>1048</v>
      </c>
      <c r="Q137" s="1">
        <v>27</v>
      </c>
      <c r="R137" s="1" t="s">
        <v>31</v>
      </c>
      <c r="S137" s="1"/>
    </row>
    <row r="138" spans="1:19" x14ac:dyDescent="0.3">
      <c r="A138" s="1" t="s">
        <v>319</v>
      </c>
      <c r="B138" s="2">
        <v>45809</v>
      </c>
      <c r="C138" s="1" t="str">
        <f t="shared" si="4"/>
        <v>Sun</v>
      </c>
      <c r="D138" s="1" t="str">
        <f t="shared" si="5"/>
        <v>Weekend</v>
      </c>
      <c r="E138" s="3">
        <v>0.4375</v>
      </c>
      <c r="F138" s="1" t="s">
        <v>320</v>
      </c>
      <c r="G138" s="1" t="s">
        <v>1047</v>
      </c>
      <c r="H138" s="1" t="s">
        <v>23</v>
      </c>
      <c r="I138" s="1" t="s">
        <v>42</v>
      </c>
      <c r="J138" s="1" t="s">
        <v>25</v>
      </c>
      <c r="K138" s="1">
        <v>4</v>
      </c>
      <c r="L138" s="1">
        <v>11</v>
      </c>
      <c r="M138" s="1">
        <v>44</v>
      </c>
      <c r="N138" s="1">
        <v>0</v>
      </c>
      <c r="O138" s="1">
        <v>44</v>
      </c>
      <c r="P138" s="1" t="s">
        <v>1048</v>
      </c>
      <c r="Q138" s="1">
        <v>43</v>
      </c>
      <c r="R138" s="1" t="s">
        <v>31</v>
      </c>
      <c r="S138" s="1">
        <v>1</v>
      </c>
    </row>
    <row r="139" spans="1:19" x14ac:dyDescent="0.3">
      <c r="A139" s="1" t="s">
        <v>321</v>
      </c>
      <c r="B139" s="2">
        <v>45658</v>
      </c>
      <c r="C139" s="1" t="str">
        <f t="shared" si="4"/>
        <v>Wed</v>
      </c>
      <c r="D139" s="1" t="str">
        <f t="shared" si="5"/>
        <v>Weekday</v>
      </c>
      <c r="E139" s="3">
        <v>0.78125</v>
      </c>
      <c r="F139" s="1" t="s">
        <v>322</v>
      </c>
      <c r="G139" s="1" t="s">
        <v>28</v>
      </c>
      <c r="H139" s="1" t="s">
        <v>16</v>
      </c>
      <c r="I139" s="1" t="s">
        <v>99</v>
      </c>
      <c r="J139" s="1" t="s">
        <v>100</v>
      </c>
      <c r="K139" s="1">
        <v>4</v>
      </c>
      <c r="L139" s="1">
        <v>53</v>
      </c>
      <c r="M139" s="1">
        <v>212</v>
      </c>
      <c r="N139" s="1">
        <v>5</v>
      </c>
      <c r="O139" s="1">
        <v>207</v>
      </c>
      <c r="P139" s="1" t="s">
        <v>1049</v>
      </c>
      <c r="Q139" s="1">
        <v>15</v>
      </c>
      <c r="R139" s="1" t="s">
        <v>31</v>
      </c>
      <c r="S139" s="1">
        <v>5</v>
      </c>
    </row>
    <row r="140" spans="1:19" x14ac:dyDescent="0.3">
      <c r="A140" s="1" t="s">
        <v>323</v>
      </c>
      <c r="B140" s="2">
        <v>45665</v>
      </c>
      <c r="C140" s="1" t="str">
        <f t="shared" si="4"/>
        <v>Wed</v>
      </c>
      <c r="D140" s="1" t="str">
        <f t="shared" si="5"/>
        <v>Weekday</v>
      </c>
      <c r="E140" s="3">
        <v>0.4375</v>
      </c>
      <c r="F140" s="1" t="s">
        <v>324</v>
      </c>
      <c r="G140" s="1" t="s">
        <v>34</v>
      </c>
      <c r="H140" s="1" t="s">
        <v>64</v>
      </c>
      <c r="I140" s="1" t="s">
        <v>24</v>
      </c>
      <c r="J140" s="1" t="s">
        <v>25</v>
      </c>
      <c r="K140" s="1">
        <v>3</v>
      </c>
      <c r="L140" s="1">
        <v>118</v>
      </c>
      <c r="M140" s="1">
        <v>354</v>
      </c>
      <c r="N140" s="1">
        <v>5</v>
      </c>
      <c r="O140" s="1">
        <v>349</v>
      </c>
      <c r="P140" s="1" t="s">
        <v>1049</v>
      </c>
      <c r="Q140" s="1">
        <v>23</v>
      </c>
      <c r="R140" s="1" t="s">
        <v>31</v>
      </c>
      <c r="S140" s="1">
        <v>3</v>
      </c>
    </row>
    <row r="141" spans="1:19" x14ac:dyDescent="0.3">
      <c r="A141" s="1" t="s">
        <v>325</v>
      </c>
      <c r="B141" s="2">
        <v>45717</v>
      </c>
      <c r="C141" s="1" t="str">
        <f t="shared" si="4"/>
        <v>Sat</v>
      </c>
      <c r="D141" s="1" t="str">
        <f t="shared" si="5"/>
        <v>Weekend</v>
      </c>
      <c r="E141" s="3">
        <v>0.4375</v>
      </c>
      <c r="F141" s="1" t="s">
        <v>326</v>
      </c>
      <c r="G141" s="1" t="s">
        <v>54</v>
      </c>
      <c r="H141" s="1" t="s">
        <v>73</v>
      </c>
      <c r="I141" s="1" t="s">
        <v>30</v>
      </c>
      <c r="J141" s="1" t="s">
        <v>18</v>
      </c>
      <c r="K141" s="1">
        <v>4</v>
      </c>
      <c r="L141" s="1">
        <v>15</v>
      </c>
      <c r="M141" s="1">
        <v>60</v>
      </c>
      <c r="N141" s="1">
        <v>5</v>
      </c>
      <c r="O141" s="1">
        <v>55</v>
      </c>
      <c r="P141" s="1" t="s">
        <v>38</v>
      </c>
      <c r="Q141" s="1">
        <v>40</v>
      </c>
      <c r="R141" s="1" t="s">
        <v>31</v>
      </c>
      <c r="S141" s="1">
        <v>4</v>
      </c>
    </row>
    <row r="142" spans="1:19" x14ac:dyDescent="0.3">
      <c r="A142" s="1" t="s">
        <v>327</v>
      </c>
      <c r="B142" s="2">
        <v>45748</v>
      </c>
      <c r="C142" s="1" t="str">
        <f t="shared" si="4"/>
        <v>Tue</v>
      </c>
      <c r="D142" s="1" t="str">
        <f t="shared" si="5"/>
        <v>Weekday</v>
      </c>
      <c r="E142" s="3">
        <v>0.76041666666666663</v>
      </c>
      <c r="F142" s="1" t="s">
        <v>328</v>
      </c>
      <c r="G142" s="1" t="s">
        <v>48</v>
      </c>
      <c r="H142" s="1" t="s">
        <v>23</v>
      </c>
      <c r="I142" s="1" t="s">
        <v>42</v>
      </c>
      <c r="J142" s="1" t="s">
        <v>25</v>
      </c>
      <c r="K142" s="1">
        <v>2</v>
      </c>
      <c r="L142" s="1">
        <v>102</v>
      </c>
      <c r="M142" s="1">
        <v>204</v>
      </c>
      <c r="N142" s="1">
        <v>0</v>
      </c>
      <c r="O142" s="1">
        <v>204</v>
      </c>
      <c r="P142" s="1" t="s">
        <v>19</v>
      </c>
      <c r="Q142" s="1">
        <v>44</v>
      </c>
      <c r="R142" s="1" t="s">
        <v>20</v>
      </c>
      <c r="S142" s="1">
        <v>3</v>
      </c>
    </row>
    <row r="143" spans="1:19" x14ac:dyDescent="0.3">
      <c r="A143" s="1" t="s">
        <v>329</v>
      </c>
      <c r="B143" s="2">
        <v>45664</v>
      </c>
      <c r="C143" s="1" t="str">
        <f t="shared" si="4"/>
        <v>Tue</v>
      </c>
      <c r="D143" s="1" t="str">
        <f t="shared" si="5"/>
        <v>Weekday</v>
      </c>
      <c r="E143" s="3">
        <v>0.78125</v>
      </c>
      <c r="F143" s="1" t="s">
        <v>330</v>
      </c>
      <c r="G143" s="1" t="s">
        <v>54</v>
      </c>
      <c r="H143" s="1" t="s">
        <v>16</v>
      </c>
      <c r="I143" s="1" t="s">
        <v>87</v>
      </c>
      <c r="J143" s="1" t="s">
        <v>88</v>
      </c>
      <c r="K143" s="1">
        <v>1</v>
      </c>
      <c r="L143" s="1">
        <v>35</v>
      </c>
      <c r="M143" s="1">
        <v>35</v>
      </c>
      <c r="N143" s="1">
        <v>10</v>
      </c>
      <c r="O143" s="1">
        <v>25</v>
      </c>
      <c r="P143" s="1" t="s">
        <v>1048</v>
      </c>
      <c r="Q143" s="1">
        <v>51</v>
      </c>
      <c r="R143" s="1" t="s">
        <v>20</v>
      </c>
      <c r="S143" s="1">
        <v>4</v>
      </c>
    </row>
    <row r="144" spans="1:19" x14ac:dyDescent="0.3">
      <c r="A144" s="1" t="s">
        <v>331</v>
      </c>
      <c r="B144" s="2">
        <v>45717</v>
      </c>
      <c r="C144" s="1" t="str">
        <f t="shared" si="4"/>
        <v>Sat</v>
      </c>
      <c r="D144" s="1" t="str">
        <f t="shared" si="5"/>
        <v>Weekend</v>
      </c>
      <c r="E144" s="3">
        <v>0.76041666666666663</v>
      </c>
      <c r="F144" s="1" t="s">
        <v>332</v>
      </c>
      <c r="G144" s="1" t="s">
        <v>54</v>
      </c>
      <c r="H144" s="1" t="s">
        <v>29</v>
      </c>
      <c r="I144" s="1" t="s">
        <v>36</v>
      </c>
      <c r="J144" s="1" t="s">
        <v>37</v>
      </c>
      <c r="K144" s="1">
        <v>4</v>
      </c>
      <c r="L144" s="1">
        <v>23</v>
      </c>
      <c r="M144" s="1">
        <v>102</v>
      </c>
      <c r="N144" s="1">
        <v>0</v>
      </c>
      <c r="O144" s="1">
        <v>92</v>
      </c>
      <c r="P144" s="1" t="s">
        <v>38</v>
      </c>
      <c r="Q144" s="1">
        <v>53</v>
      </c>
      <c r="R144" s="1" t="s">
        <v>20</v>
      </c>
      <c r="S144" s="1">
        <v>4</v>
      </c>
    </row>
    <row r="145" spans="1:19" x14ac:dyDescent="0.3">
      <c r="A145" s="1" t="s">
        <v>333</v>
      </c>
      <c r="B145" s="2">
        <v>45778</v>
      </c>
      <c r="C145" s="1" t="str">
        <f t="shared" si="4"/>
        <v>Thu</v>
      </c>
      <c r="D145" s="1" t="str">
        <f t="shared" si="5"/>
        <v>Weekday</v>
      </c>
      <c r="E145" s="3">
        <v>0.4375</v>
      </c>
      <c r="F145" s="1" t="s">
        <v>334</v>
      </c>
      <c r="G145" s="1" t="s">
        <v>45</v>
      </c>
      <c r="H145" s="1" t="s">
        <v>29</v>
      </c>
      <c r="I145" s="1" t="s">
        <v>36</v>
      </c>
      <c r="J145" s="1" t="s">
        <v>37</v>
      </c>
      <c r="K145" s="1">
        <v>6</v>
      </c>
      <c r="L145" s="1">
        <v>64</v>
      </c>
      <c r="M145" s="1">
        <v>384</v>
      </c>
      <c r="N145" s="1">
        <v>10</v>
      </c>
      <c r="O145" s="1">
        <v>374</v>
      </c>
      <c r="P145" s="1" t="s">
        <v>1048</v>
      </c>
      <c r="Q145" s="1">
        <v>11</v>
      </c>
      <c r="R145" s="1" t="s">
        <v>20</v>
      </c>
      <c r="S145" s="1">
        <v>1</v>
      </c>
    </row>
    <row r="146" spans="1:19" x14ac:dyDescent="0.3">
      <c r="A146" s="1" t="s">
        <v>335</v>
      </c>
      <c r="B146" s="2">
        <v>45809</v>
      </c>
      <c r="C146" s="1" t="str">
        <f t="shared" si="4"/>
        <v>Sun</v>
      </c>
      <c r="D146" s="1" t="str">
        <f t="shared" si="5"/>
        <v>Weekend</v>
      </c>
      <c r="E146" s="3">
        <v>0.37847222222222221</v>
      </c>
      <c r="F146" s="1" t="s">
        <v>336</v>
      </c>
      <c r="G146" s="1" t="s">
        <v>48</v>
      </c>
      <c r="H146" s="1" t="s">
        <v>16</v>
      </c>
      <c r="I146" s="1" t="s">
        <v>74</v>
      </c>
      <c r="J146" s="1" t="s">
        <v>75</v>
      </c>
      <c r="K146" s="1">
        <v>4</v>
      </c>
      <c r="L146" s="1">
        <v>107</v>
      </c>
      <c r="M146" s="1">
        <v>428</v>
      </c>
      <c r="N146" s="1">
        <v>0</v>
      </c>
      <c r="O146" s="1">
        <v>428</v>
      </c>
      <c r="P146" s="1" t="s">
        <v>1048</v>
      </c>
      <c r="Q146" s="1">
        <v>21</v>
      </c>
      <c r="R146" s="1" t="s">
        <v>20</v>
      </c>
      <c r="S146" s="1">
        <v>2</v>
      </c>
    </row>
    <row r="147" spans="1:19" x14ac:dyDescent="0.3">
      <c r="A147" s="1" t="s">
        <v>337</v>
      </c>
      <c r="B147" s="2">
        <v>45666</v>
      </c>
      <c r="C147" s="1" t="str">
        <f t="shared" si="4"/>
        <v>Thu</v>
      </c>
      <c r="D147" s="1" t="str">
        <f t="shared" si="5"/>
        <v>Weekday</v>
      </c>
      <c r="E147" s="3">
        <v>0.4375</v>
      </c>
      <c r="F147" s="1" t="s">
        <v>338</v>
      </c>
      <c r="G147" s="1" t="s">
        <v>48</v>
      </c>
      <c r="H147" s="1" t="s">
        <v>29</v>
      </c>
      <c r="I147" s="1" t="s">
        <v>36</v>
      </c>
      <c r="J147" s="1" t="s">
        <v>37</v>
      </c>
      <c r="K147" s="1">
        <v>6</v>
      </c>
      <c r="L147" s="1">
        <v>26</v>
      </c>
      <c r="M147" s="1">
        <v>156</v>
      </c>
      <c r="N147" s="1">
        <v>0</v>
      </c>
      <c r="O147" s="1">
        <v>156</v>
      </c>
      <c r="P147" s="1" t="s">
        <v>1048</v>
      </c>
      <c r="Q147" s="1">
        <v>60</v>
      </c>
      <c r="R147" s="1" t="s">
        <v>20</v>
      </c>
      <c r="S147" s="1">
        <v>5</v>
      </c>
    </row>
    <row r="148" spans="1:19" x14ac:dyDescent="0.3">
      <c r="A148" s="1" t="s">
        <v>339</v>
      </c>
      <c r="B148" s="2">
        <v>45748</v>
      </c>
      <c r="C148" s="1" t="str">
        <f t="shared" si="4"/>
        <v>Tue</v>
      </c>
      <c r="D148" s="1" t="str">
        <f t="shared" si="5"/>
        <v>Weekday</v>
      </c>
      <c r="E148" s="3">
        <v>0.37847222222222221</v>
      </c>
      <c r="F148" s="1" t="s">
        <v>340</v>
      </c>
      <c r="G148" s="1" t="s">
        <v>28</v>
      </c>
      <c r="H148" s="1" t="s">
        <v>29</v>
      </c>
      <c r="I148" s="1" t="s">
        <v>99</v>
      </c>
      <c r="J148" s="1" t="s">
        <v>100</v>
      </c>
      <c r="K148" s="1">
        <v>6</v>
      </c>
      <c r="L148" s="1">
        <v>28</v>
      </c>
      <c r="M148" s="1">
        <v>168</v>
      </c>
      <c r="N148" s="1">
        <v>5</v>
      </c>
      <c r="O148" s="1">
        <v>163</v>
      </c>
      <c r="P148" s="1" t="s">
        <v>19</v>
      </c>
      <c r="Q148" s="1">
        <v>48</v>
      </c>
      <c r="R148" s="1" t="s">
        <v>31</v>
      </c>
      <c r="S148" s="1">
        <v>1</v>
      </c>
    </row>
    <row r="149" spans="1:19" x14ac:dyDescent="0.3">
      <c r="A149" s="1" t="s">
        <v>341</v>
      </c>
      <c r="B149" s="2">
        <v>45662</v>
      </c>
      <c r="C149" s="1" t="str">
        <f t="shared" si="4"/>
        <v>Sun</v>
      </c>
      <c r="D149" s="1" t="str">
        <f t="shared" si="5"/>
        <v>Weekend</v>
      </c>
      <c r="E149" s="3">
        <v>0.78125</v>
      </c>
      <c r="F149" s="1" t="s">
        <v>342</v>
      </c>
      <c r="G149" s="1" t="s">
        <v>48</v>
      </c>
      <c r="H149" s="1" t="s">
        <v>73</v>
      </c>
      <c r="I149" s="1" t="s">
        <v>36</v>
      </c>
      <c r="J149" s="1" t="s">
        <v>37</v>
      </c>
      <c r="K149" s="1">
        <v>5</v>
      </c>
      <c r="L149" s="1">
        <v>68</v>
      </c>
      <c r="M149" s="1">
        <v>340</v>
      </c>
      <c r="N149" s="1">
        <v>5</v>
      </c>
      <c r="O149" s="1">
        <v>335</v>
      </c>
      <c r="P149" s="1" t="s">
        <v>1049</v>
      </c>
      <c r="Q149" s="1">
        <v>22</v>
      </c>
      <c r="R149" s="1" t="s">
        <v>20</v>
      </c>
      <c r="S149" s="1">
        <v>5</v>
      </c>
    </row>
    <row r="150" spans="1:19" x14ac:dyDescent="0.3">
      <c r="A150" s="1" t="s">
        <v>343</v>
      </c>
      <c r="B150" s="2">
        <v>45809</v>
      </c>
      <c r="C150" s="1" t="str">
        <f t="shared" si="4"/>
        <v>Sun</v>
      </c>
      <c r="D150" s="1" t="str">
        <f t="shared" si="5"/>
        <v>Weekend</v>
      </c>
      <c r="E150" s="3">
        <v>0.76041666666666663</v>
      </c>
      <c r="F150" s="1" t="s">
        <v>344</v>
      </c>
      <c r="G150" s="1" t="s">
        <v>28</v>
      </c>
      <c r="H150" s="1" t="s">
        <v>73</v>
      </c>
      <c r="I150" s="1" t="s">
        <v>99</v>
      </c>
      <c r="J150" s="1" t="s">
        <v>100</v>
      </c>
      <c r="K150" s="1">
        <v>2</v>
      </c>
      <c r="L150" s="1">
        <v>103</v>
      </c>
      <c r="M150" s="1">
        <v>206</v>
      </c>
      <c r="N150" s="1">
        <v>0</v>
      </c>
      <c r="O150" s="1">
        <v>206</v>
      </c>
      <c r="P150" s="1" t="s">
        <v>1049</v>
      </c>
      <c r="Q150" s="1">
        <v>26</v>
      </c>
      <c r="R150" s="1" t="s">
        <v>20</v>
      </c>
      <c r="S150" s="1">
        <v>1</v>
      </c>
    </row>
    <row r="151" spans="1:19" x14ac:dyDescent="0.3">
      <c r="A151" s="1" t="s">
        <v>345</v>
      </c>
      <c r="B151" s="2">
        <v>45717</v>
      </c>
      <c r="C151" s="1" t="str">
        <f t="shared" si="4"/>
        <v>Sat</v>
      </c>
      <c r="D151" s="1" t="str">
        <f t="shared" si="5"/>
        <v>Weekend</v>
      </c>
      <c r="E151" s="3">
        <v>0.78125</v>
      </c>
      <c r="F151" s="1" t="s">
        <v>346</v>
      </c>
      <c r="G151" s="1" t="s">
        <v>34</v>
      </c>
      <c r="H151" s="1" t="s">
        <v>23</v>
      </c>
      <c r="I151" s="1" t="s">
        <v>74</v>
      </c>
      <c r="J151" s="1" t="s">
        <v>75</v>
      </c>
      <c r="K151" s="1">
        <v>1</v>
      </c>
      <c r="L151" s="1">
        <v>16</v>
      </c>
      <c r="M151" s="1">
        <v>16</v>
      </c>
      <c r="N151" s="1">
        <v>0</v>
      </c>
      <c r="O151" s="1">
        <v>16</v>
      </c>
      <c r="P151" s="1" t="s">
        <v>1048</v>
      </c>
      <c r="Q151" s="1">
        <v>51</v>
      </c>
      <c r="R151" s="1" t="s">
        <v>20</v>
      </c>
      <c r="S151" s="1">
        <v>3</v>
      </c>
    </row>
    <row r="152" spans="1:19" x14ac:dyDescent="0.3">
      <c r="A152" s="1" t="s">
        <v>347</v>
      </c>
      <c r="B152" s="2">
        <v>45809</v>
      </c>
      <c r="C152" s="1" t="str">
        <f t="shared" si="4"/>
        <v>Sun</v>
      </c>
      <c r="D152" s="1" t="str">
        <f t="shared" si="5"/>
        <v>Weekend</v>
      </c>
      <c r="E152" s="3">
        <v>0.78125</v>
      </c>
      <c r="F152" s="1" t="s">
        <v>348</v>
      </c>
      <c r="G152" s="1" t="s">
        <v>48</v>
      </c>
      <c r="H152" s="1" t="s">
        <v>23</v>
      </c>
      <c r="I152" s="1" t="s">
        <v>42</v>
      </c>
      <c r="J152" s="1" t="s">
        <v>25</v>
      </c>
      <c r="K152" s="1">
        <v>1</v>
      </c>
      <c r="L152" s="1">
        <v>71</v>
      </c>
      <c r="M152" s="1">
        <v>71</v>
      </c>
      <c r="N152" s="1">
        <v>0</v>
      </c>
      <c r="O152" s="1">
        <v>71</v>
      </c>
      <c r="P152" s="1" t="s">
        <v>1049</v>
      </c>
      <c r="Q152" s="1">
        <v>33</v>
      </c>
      <c r="R152" s="1" t="s">
        <v>31</v>
      </c>
      <c r="S152" s="1">
        <v>1</v>
      </c>
    </row>
    <row r="153" spans="1:19" x14ac:dyDescent="0.3">
      <c r="A153" s="1" t="s">
        <v>349</v>
      </c>
      <c r="B153" s="2">
        <v>45717</v>
      </c>
      <c r="C153" s="1" t="str">
        <f t="shared" si="4"/>
        <v>Sat</v>
      </c>
      <c r="D153" s="1" t="str">
        <f t="shared" si="5"/>
        <v>Weekend</v>
      </c>
      <c r="E153" s="3">
        <v>0.76041666666666663</v>
      </c>
      <c r="F153" s="1" t="s">
        <v>350</v>
      </c>
      <c r="G153" s="1" t="s">
        <v>48</v>
      </c>
      <c r="H153" s="1" t="s">
        <v>29</v>
      </c>
      <c r="I153" s="1" t="s">
        <v>51</v>
      </c>
      <c r="J153" s="1" t="s">
        <v>18</v>
      </c>
      <c r="K153" s="1">
        <v>4</v>
      </c>
      <c r="L153" s="1">
        <v>67</v>
      </c>
      <c r="M153" s="1">
        <v>268</v>
      </c>
      <c r="N153" s="1">
        <v>5</v>
      </c>
      <c r="O153" s="1">
        <v>263</v>
      </c>
      <c r="P153" s="1" t="s">
        <v>1048</v>
      </c>
      <c r="Q153" s="1">
        <v>31</v>
      </c>
      <c r="R153" s="1" t="s">
        <v>31</v>
      </c>
      <c r="S153" s="1">
        <v>1</v>
      </c>
    </row>
    <row r="154" spans="1:19" x14ac:dyDescent="0.3">
      <c r="A154" s="1" t="s">
        <v>351</v>
      </c>
      <c r="B154" s="2">
        <v>45689</v>
      </c>
      <c r="C154" s="1" t="str">
        <f t="shared" si="4"/>
        <v>Sat</v>
      </c>
      <c r="D154" s="1" t="str">
        <f t="shared" si="5"/>
        <v>Weekend</v>
      </c>
      <c r="E154" s="3">
        <v>0.78125</v>
      </c>
      <c r="F154" s="1" t="s">
        <v>352</v>
      </c>
      <c r="G154" s="1" t="s">
        <v>54</v>
      </c>
      <c r="H154" s="1" t="s">
        <v>41</v>
      </c>
      <c r="I154" s="1" t="s">
        <v>30</v>
      </c>
      <c r="J154" s="1" t="s">
        <v>18</v>
      </c>
      <c r="K154" s="1">
        <v>2</v>
      </c>
      <c r="L154" s="1">
        <v>101</v>
      </c>
      <c r="M154" s="1">
        <v>202</v>
      </c>
      <c r="N154" s="1">
        <v>0</v>
      </c>
      <c r="O154" s="1">
        <v>202</v>
      </c>
      <c r="P154" s="1" t="s">
        <v>1048</v>
      </c>
      <c r="Q154" s="1">
        <v>19</v>
      </c>
      <c r="R154" s="1" t="s">
        <v>20</v>
      </c>
      <c r="S154" s="1">
        <v>4</v>
      </c>
    </row>
    <row r="155" spans="1:19" x14ac:dyDescent="0.3">
      <c r="A155" s="1" t="s">
        <v>353</v>
      </c>
      <c r="B155" s="2">
        <v>45659</v>
      </c>
      <c r="C155" s="1" t="str">
        <f t="shared" si="4"/>
        <v>Thu</v>
      </c>
      <c r="D155" s="1" t="str">
        <f t="shared" si="5"/>
        <v>Weekday</v>
      </c>
      <c r="E155" s="3">
        <v>0.4375</v>
      </c>
      <c r="F155" s="1" t="s">
        <v>354</v>
      </c>
      <c r="G155" s="1" t="s">
        <v>48</v>
      </c>
      <c r="H155" s="1" t="s">
        <v>29</v>
      </c>
      <c r="I155" s="1" t="s">
        <v>99</v>
      </c>
      <c r="J155" s="1" t="s">
        <v>100</v>
      </c>
      <c r="K155" s="1">
        <v>4</v>
      </c>
      <c r="L155" s="1">
        <v>33</v>
      </c>
      <c r="M155" s="1">
        <v>132</v>
      </c>
      <c r="N155" s="1">
        <v>5</v>
      </c>
      <c r="O155" s="1">
        <v>127</v>
      </c>
      <c r="P155" s="1" t="s">
        <v>1048</v>
      </c>
      <c r="Q155" s="1">
        <v>15</v>
      </c>
      <c r="R155" s="1" t="s">
        <v>20</v>
      </c>
      <c r="S155" s="1">
        <v>2</v>
      </c>
    </row>
    <row r="156" spans="1:19" x14ac:dyDescent="0.3">
      <c r="A156" s="1" t="s">
        <v>355</v>
      </c>
      <c r="B156" s="2">
        <v>45663</v>
      </c>
      <c r="C156" s="1" t="str">
        <f t="shared" si="4"/>
        <v>Mon</v>
      </c>
      <c r="D156" s="1" t="str">
        <f t="shared" si="5"/>
        <v>Weekday</v>
      </c>
      <c r="E156" s="3">
        <v>0.78125</v>
      </c>
      <c r="F156" s="1" t="s">
        <v>356</v>
      </c>
      <c r="G156" s="1" t="s">
        <v>84</v>
      </c>
      <c r="H156" s="1" t="s">
        <v>64</v>
      </c>
      <c r="I156" s="1" t="s">
        <v>87</v>
      </c>
      <c r="J156" s="1" t="s">
        <v>88</v>
      </c>
      <c r="K156" s="1">
        <v>4</v>
      </c>
      <c r="L156" s="1">
        <v>113</v>
      </c>
      <c r="M156" s="1">
        <v>452</v>
      </c>
      <c r="N156" s="1">
        <v>0</v>
      </c>
      <c r="O156" s="1">
        <v>452</v>
      </c>
      <c r="P156" s="1" t="s">
        <v>1048</v>
      </c>
      <c r="Q156" s="1">
        <v>20</v>
      </c>
      <c r="R156" s="1" t="s">
        <v>31</v>
      </c>
      <c r="S156" s="1">
        <v>4</v>
      </c>
    </row>
    <row r="157" spans="1:19" x14ac:dyDescent="0.3">
      <c r="A157" s="1" t="s">
        <v>357</v>
      </c>
      <c r="B157" s="2">
        <v>45658</v>
      </c>
      <c r="C157" s="1" t="str">
        <f t="shared" si="4"/>
        <v>Wed</v>
      </c>
      <c r="D157" s="1" t="str">
        <f t="shared" si="5"/>
        <v>Weekday</v>
      </c>
      <c r="E157" s="3">
        <v>0.37847222222222221</v>
      </c>
      <c r="F157" s="1" t="s">
        <v>358</v>
      </c>
      <c r="G157" s="1" t="s">
        <v>28</v>
      </c>
      <c r="H157" s="1" t="s">
        <v>23</v>
      </c>
      <c r="I157" s="1" t="s">
        <v>42</v>
      </c>
      <c r="J157" s="1" t="s">
        <v>25</v>
      </c>
      <c r="K157" s="1">
        <v>2</v>
      </c>
      <c r="L157" s="1">
        <v>44</v>
      </c>
      <c r="M157" s="1">
        <v>88</v>
      </c>
      <c r="N157" s="1">
        <v>10</v>
      </c>
      <c r="O157" s="1">
        <v>78</v>
      </c>
      <c r="P157" s="1" t="s">
        <v>38</v>
      </c>
      <c r="Q157" s="1">
        <v>27</v>
      </c>
      <c r="R157" s="1" t="s">
        <v>31</v>
      </c>
      <c r="S157" s="1">
        <v>1</v>
      </c>
    </row>
    <row r="158" spans="1:19" x14ac:dyDescent="0.3">
      <c r="A158" s="1" t="s">
        <v>359</v>
      </c>
      <c r="B158" s="2">
        <v>45809</v>
      </c>
      <c r="C158" s="1" t="str">
        <f t="shared" si="4"/>
        <v>Sun</v>
      </c>
      <c r="D158" s="1" t="str">
        <f t="shared" si="5"/>
        <v>Weekend</v>
      </c>
      <c r="E158" s="3">
        <v>0.76041666666666663</v>
      </c>
      <c r="F158" s="1" t="s">
        <v>360</v>
      </c>
      <c r="G158" s="1" t="s">
        <v>28</v>
      </c>
      <c r="H158" s="1" t="s">
        <v>29</v>
      </c>
      <c r="I158" s="1" t="s">
        <v>24</v>
      </c>
      <c r="J158" s="1" t="s">
        <v>25</v>
      </c>
      <c r="K158" s="1">
        <v>1</v>
      </c>
      <c r="L158" s="1">
        <v>79</v>
      </c>
      <c r="M158" s="1">
        <v>79</v>
      </c>
      <c r="N158" s="1">
        <v>10</v>
      </c>
      <c r="O158" s="1">
        <v>69</v>
      </c>
      <c r="P158" s="1" t="s">
        <v>1049</v>
      </c>
      <c r="Q158" s="1">
        <v>20</v>
      </c>
      <c r="R158" s="1" t="s">
        <v>31</v>
      </c>
      <c r="S158" s="1">
        <v>2</v>
      </c>
    </row>
    <row r="159" spans="1:19" x14ac:dyDescent="0.3">
      <c r="A159" s="1" t="s">
        <v>361</v>
      </c>
      <c r="B159" s="2">
        <v>45809</v>
      </c>
      <c r="C159" s="1" t="str">
        <f t="shared" si="4"/>
        <v>Sun</v>
      </c>
      <c r="D159" s="1" t="str">
        <f t="shared" si="5"/>
        <v>Weekend</v>
      </c>
      <c r="E159" s="3">
        <v>0.37847222222222221</v>
      </c>
      <c r="F159" s="1" t="s">
        <v>362</v>
      </c>
      <c r="G159" s="1" t="s">
        <v>84</v>
      </c>
      <c r="H159" s="1" t="s">
        <v>41</v>
      </c>
      <c r="I159" s="1" t="s">
        <v>74</v>
      </c>
      <c r="J159" s="1" t="s">
        <v>75</v>
      </c>
      <c r="K159" s="1">
        <v>1</v>
      </c>
      <c r="L159" s="1">
        <v>15</v>
      </c>
      <c r="M159" s="1">
        <v>15</v>
      </c>
      <c r="N159" s="1">
        <v>5</v>
      </c>
      <c r="O159" s="1">
        <v>10</v>
      </c>
      <c r="P159" s="1" t="s">
        <v>1048</v>
      </c>
      <c r="Q159" s="1">
        <v>10</v>
      </c>
      <c r="R159" s="1" t="s">
        <v>31</v>
      </c>
      <c r="S159" s="1">
        <v>2</v>
      </c>
    </row>
    <row r="160" spans="1:19" x14ac:dyDescent="0.3">
      <c r="A160" s="1" t="s">
        <v>363</v>
      </c>
      <c r="B160" s="2">
        <v>45748</v>
      </c>
      <c r="C160" s="1" t="str">
        <f t="shared" si="4"/>
        <v>Tue</v>
      </c>
      <c r="D160" s="1" t="str">
        <f t="shared" si="5"/>
        <v>Weekday</v>
      </c>
      <c r="E160" s="3">
        <v>0.78125</v>
      </c>
      <c r="F160" s="1" t="s">
        <v>364</v>
      </c>
      <c r="G160" s="1" t="s">
        <v>28</v>
      </c>
      <c r="H160" s="1" t="s">
        <v>73</v>
      </c>
      <c r="I160" s="1" t="s">
        <v>87</v>
      </c>
      <c r="J160" s="1" t="s">
        <v>88</v>
      </c>
      <c r="K160" s="1">
        <v>1</v>
      </c>
      <c r="L160" s="1">
        <v>91</v>
      </c>
      <c r="M160" s="1">
        <v>91</v>
      </c>
      <c r="N160" s="1">
        <v>10</v>
      </c>
      <c r="O160" s="1">
        <v>81</v>
      </c>
      <c r="P160" s="1" t="s">
        <v>1048</v>
      </c>
      <c r="Q160" s="1">
        <v>14</v>
      </c>
      <c r="R160" s="1" t="s">
        <v>20</v>
      </c>
      <c r="S160" s="1">
        <v>2</v>
      </c>
    </row>
    <row r="161" spans="1:19" x14ac:dyDescent="0.3">
      <c r="A161" s="1" t="s">
        <v>365</v>
      </c>
      <c r="B161" s="2">
        <v>45809</v>
      </c>
      <c r="C161" s="1" t="str">
        <f t="shared" si="4"/>
        <v>Sun</v>
      </c>
      <c r="D161" s="1" t="str">
        <f t="shared" si="5"/>
        <v>Weekend</v>
      </c>
      <c r="E161" s="3">
        <v>0.76041666666666663</v>
      </c>
      <c r="F161" s="1" t="s">
        <v>366</v>
      </c>
      <c r="G161" s="1" t="s">
        <v>1047</v>
      </c>
      <c r="H161" s="1" t="s">
        <v>73</v>
      </c>
      <c r="I161" s="1" t="s">
        <v>36</v>
      </c>
      <c r="J161" s="1" t="s">
        <v>37</v>
      </c>
      <c r="K161" s="1">
        <v>5</v>
      </c>
      <c r="L161" s="1">
        <v>63</v>
      </c>
      <c r="M161" s="1">
        <v>315</v>
      </c>
      <c r="N161" s="1">
        <v>0</v>
      </c>
      <c r="O161" s="1">
        <v>315</v>
      </c>
      <c r="P161" s="1" t="s">
        <v>1049</v>
      </c>
      <c r="Q161" s="1">
        <v>13</v>
      </c>
      <c r="R161" s="1" t="s">
        <v>31</v>
      </c>
      <c r="S161" s="1">
        <v>1</v>
      </c>
    </row>
    <row r="162" spans="1:19" x14ac:dyDescent="0.3">
      <c r="A162" s="1" t="s">
        <v>367</v>
      </c>
      <c r="B162" s="2">
        <v>45870</v>
      </c>
      <c r="C162" s="1" t="str">
        <f t="shared" si="4"/>
        <v>Fri</v>
      </c>
      <c r="D162" s="1" t="str">
        <f t="shared" si="5"/>
        <v>Weekday</v>
      </c>
      <c r="E162" s="3">
        <v>0.4375</v>
      </c>
      <c r="F162" s="1" t="s">
        <v>368</v>
      </c>
      <c r="G162" s="1" t="s">
        <v>48</v>
      </c>
      <c r="H162" s="1" t="s">
        <v>35</v>
      </c>
      <c r="I162" s="1" t="s">
        <v>99</v>
      </c>
      <c r="J162" s="1" t="s">
        <v>100</v>
      </c>
      <c r="K162" s="1">
        <v>2</v>
      </c>
      <c r="L162" s="1">
        <v>104</v>
      </c>
      <c r="M162" s="1">
        <v>208</v>
      </c>
      <c r="N162" s="1">
        <v>5</v>
      </c>
      <c r="O162" s="1">
        <v>203</v>
      </c>
      <c r="P162" s="1" t="s">
        <v>1048</v>
      </c>
      <c r="Q162" s="1">
        <v>17</v>
      </c>
      <c r="R162" s="1" t="s">
        <v>20</v>
      </c>
      <c r="S162" s="1">
        <v>2</v>
      </c>
    </row>
    <row r="163" spans="1:19" x14ac:dyDescent="0.3">
      <c r="A163" s="1" t="s">
        <v>369</v>
      </c>
      <c r="B163" s="2">
        <v>45667</v>
      </c>
      <c r="C163" s="1" t="str">
        <f t="shared" si="4"/>
        <v>Fri</v>
      </c>
      <c r="D163" s="1" t="str">
        <f t="shared" si="5"/>
        <v>Weekday</v>
      </c>
      <c r="E163" s="3">
        <v>0.4375</v>
      </c>
      <c r="F163" s="1" t="s">
        <v>370</v>
      </c>
      <c r="G163" s="1" t="s">
        <v>1047</v>
      </c>
      <c r="H163" s="1" t="s">
        <v>73</v>
      </c>
      <c r="I163" s="1" t="s">
        <v>99</v>
      </c>
      <c r="J163" s="1" t="s">
        <v>100</v>
      </c>
      <c r="K163" s="1">
        <v>2</v>
      </c>
      <c r="L163" s="1">
        <v>44</v>
      </c>
      <c r="M163" s="1">
        <v>88</v>
      </c>
      <c r="N163" s="1">
        <v>5</v>
      </c>
      <c r="O163" s="1">
        <v>83</v>
      </c>
      <c r="P163" s="1" t="s">
        <v>1049</v>
      </c>
      <c r="Q163" s="1">
        <v>43</v>
      </c>
      <c r="R163" s="1" t="s">
        <v>20</v>
      </c>
      <c r="S163" s="1">
        <v>1</v>
      </c>
    </row>
    <row r="164" spans="1:19" x14ac:dyDescent="0.3">
      <c r="A164" s="1" t="s">
        <v>371</v>
      </c>
      <c r="B164" s="2">
        <v>45778</v>
      </c>
      <c r="C164" s="1" t="str">
        <f t="shared" si="4"/>
        <v>Thu</v>
      </c>
      <c r="D164" s="1" t="str">
        <f t="shared" si="5"/>
        <v>Weekday</v>
      </c>
      <c r="E164" s="3">
        <v>0.78125</v>
      </c>
      <c r="F164" s="1" t="s">
        <v>372</v>
      </c>
      <c r="G164" s="1" t="s">
        <v>28</v>
      </c>
      <c r="H164" s="1" t="s">
        <v>73</v>
      </c>
      <c r="I164" s="1" t="s">
        <v>30</v>
      </c>
      <c r="J164" s="1" t="s">
        <v>18</v>
      </c>
      <c r="K164" s="1">
        <v>6</v>
      </c>
      <c r="L164" s="1">
        <v>120</v>
      </c>
      <c r="M164" s="1">
        <v>720</v>
      </c>
      <c r="N164" s="1">
        <v>5</v>
      </c>
      <c r="O164" s="1">
        <v>715</v>
      </c>
      <c r="P164" s="1" t="s">
        <v>19</v>
      </c>
      <c r="Q164" s="1">
        <v>15</v>
      </c>
      <c r="R164" s="1" t="s">
        <v>31</v>
      </c>
      <c r="S164" s="1">
        <v>1</v>
      </c>
    </row>
    <row r="165" spans="1:19" x14ac:dyDescent="0.3">
      <c r="A165" s="1" t="s">
        <v>373</v>
      </c>
      <c r="B165" s="2">
        <v>45666</v>
      </c>
      <c r="C165" s="1" t="str">
        <f t="shared" si="4"/>
        <v>Thu</v>
      </c>
      <c r="D165" s="1" t="str">
        <f t="shared" si="5"/>
        <v>Weekday</v>
      </c>
      <c r="E165" s="3">
        <v>0.4375</v>
      </c>
      <c r="F165" s="1" t="s">
        <v>374</v>
      </c>
      <c r="G165" s="1" t="s">
        <v>34</v>
      </c>
      <c r="H165" s="1" t="s">
        <v>23</v>
      </c>
      <c r="I165" s="1" t="s">
        <v>42</v>
      </c>
      <c r="J165" s="1" t="s">
        <v>25</v>
      </c>
      <c r="K165" s="1">
        <v>1</v>
      </c>
      <c r="L165" s="1">
        <v>80</v>
      </c>
      <c r="M165" s="1">
        <v>80</v>
      </c>
      <c r="N165" s="1">
        <v>0</v>
      </c>
      <c r="O165" s="1">
        <v>80</v>
      </c>
      <c r="P165" s="1" t="s">
        <v>19</v>
      </c>
      <c r="Q165" s="1">
        <v>47</v>
      </c>
      <c r="R165" s="1" t="s">
        <v>31</v>
      </c>
      <c r="S165" s="1">
        <v>5</v>
      </c>
    </row>
    <row r="166" spans="1:19" x14ac:dyDescent="0.3">
      <c r="A166" s="1" t="s">
        <v>375</v>
      </c>
      <c r="B166" s="2">
        <v>45717</v>
      </c>
      <c r="C166" s="1" t="str">
        <f t="shared" si="4"/>
        <v>Sat</v>
      </c>
      <c r="D166" s="1" t="str">
        <f t="shared" si="5"/>
        <v>Weekend</v>
      </c>
      <c r="E166" s="3">
        <v>0.4375</v>
      </c>
      <c r="F166" s="1" t="s">
        <v>376</v>
      </c>
      <c r="G166" s="1" t="s">
        <v>28</v>
      </c>
      <c r="H166" s="1" t="s">
        <v>35</v>
      </c>
      <c r="I166" s="1" t="s">
        <v>36</v>
      </c>
      <c r="J166" s="1" t="s">
        <v>37</v>
      </c>
      <c r="K166" s="1">
        <v>5</v>
      </c>
      <c r="L166" s="1">
        <v>79</v>
      </c>
      <c r="M166" s="1">
        <v>395</v>
      </c>
      <c r="N166" s="1">
        <v>5</v>
      </c>
      <c r="O166" s="1">
        <v>390</v>
      </c>
      <c r="P166" s="1" t="s">
        <v>1048</v>
      </c>
      <c r="Q166" s="1">
        <v>12</v>
      </c>
      <c r="R166" s="1" t="s">
        <v>20</v>
      </c>
      <c r="S166" s="1"/>
    </row>
    <row r="167" spans="1:19" x14ac:dyDescent="0.3">
      <c r="A167" s="1" t="s">
        <v>377</v>
      </c>
      <c r="B167" s="2">
        <v>45931</v>
      </c>
      <c r="C167" s="1" t="str">
        <f t="shared" si="4"/>
        <v>Wed</v>
      </c>
      <c r="D167" s="1" t="str">
        <f t="shared" si="5"/>
        <v>Weekday</v>
      </c>
      <c r="E167" s="3">
        <v>0.78125</v>
      </c>
      <c r="F167" s="1" t="s">
        <v>378</v>
      </c>
      <c r="G167" s="1" t="s">
        <v>54</v>
      </c>
      <c r="H167" s="1" t="s">
        <v>23</v>
      </c>
      <c r="I167" s="1" t="s">
        <v>42</v>
      </c>
      <c r="J167" s="1" t="s">
        <v>25</v>
      </c>
      <c r="K167" s="1">
        <v>1</v>
      </c>
      <c r="L167" s="1">
        <v>112</v>
      </c>
      <c r="M167" s="1">
        <v>112</v>
      </c>
      <c r="N167" s="1">
        <v>0</v>
      </c>
      <c r="O167" s="1">
        <v>112</v>
      </c>
      <c r="P167" s="1" t="s">
        <v>1048</v>
      </c>
      <c r="Q167" s="1">
        <v>28</v>
      </c>
      <c r="R167" s="1" t="s">
        <v>20</v>
      </c>
      <c r="S167" s="1">
        <v>5</v>
      </c>
    </row>
    <row r="168" spans="1:19" x14ac:dyDescent="0.3">
      <c r="A168" s="1" t="s">
        <v>379</v>
      </c>
      <c r="B168" s="2">
        <v>45778</v>
      </c>
      <c r="C168" s="1" t="str">
        <f t="shared" si="4"/>
        <v>Thu</v>
      </c>
      <c r="D168" s="1" t="str">
        <f t="shared" si="5"/>
        <v>Weekday</v>
      </c>
      <c r="E168" s="3">
        <v>0.37847222222222221</v>
      </c>
      <c r="F168" s="1" t="s">
        <v>380</v>
      </c>
      <c r="G168" s="1" t="s">
        <v>84</v>
      </c>
      <c r="H168" s="1" t="s">
        <v>23</v>
      </c>
      <c r="I168" s="1" t="s">
        <v>42</v>
      </c>
      <c r="J168" s="1" t="s">
        <v>25</v>
      </c>
      <c r="K168" s="1">
        <v>3</v>
      </c>
      <c r="L168" s="1">
        <v>62</v>
      </c>
      <c r="M168" s="1">
        <v>186</v>
      </c>
      <c r="N168" s="1">
        <v>0</v>
      </c>
      <c r="O168" s="1">
        <v>186</v>
      </c>
      <c r="P168" s="1" t="s">
        <v>1048</v>
      </c>
      <c r="Q168" s="1">
        <v>19</v>
      </c>
      <c r="R168" s="1" t="s">
        <v>20</v>
      </c>
      <c r="S168" s="1">
        <v>3</v>
      </c>
    </row>
    <row r="169" spans="1:19" x14ac:dyDescent="0.3">
      <c r="A169" s="1" t="s">
        <v>381</v>
      </c>
      <c r="B169" s="2">
        <v>45663</v>
      </c>
      <c r="C169" s="1" t="str">
        <f t="shared" si="4"/>
        <v>Mon</v>
      </c>
      <c r="D169" s="1" t="str">
        <f t="shared" si="5"/>
        <v>Weekday</v>
      </c>
      <c r="E169" s="3">
        <v>0.78125</v>
      </c>
      <c r="F169" s="1" t="s">
        <v>382</v>
      </c>
      <c r="G169" s="1" t="s">
        <v>45</v>
      </c>
      <c r="H169" s="1" t="s">
        <v>23</v>
      </c>
      <c r="I169" s="1" t="s">
        <v>51</v>
      </c>
      <c r="J169" s="1" t="s">
        <v>18</v>
      </c>
      <c r="K169" s="1">
        <v>1</v>
      </c>
      <c r="L169" s="1">
        <v>74</v>
      </c>
      <c r="M169" s="1">
        <v>74</v>
      </c>
      <c r="N169" s="1">
        <v>0</v>
      </c>
      <c r="O169" s="1">
        <v>74</v>
      </c>
      <c r="P169" s="1" t="s">
        <v>38</v>
      </c>
      <c r="Q169" s="1">
        <v>12</v>
      </c>
      <c r="R169" s="1" t="s">
        <v>20</v>
      </c>
      <c r="S169" s="1"/>
    </row>
    <row r="170" spans="1:19" x14ac:dyDescent="0.3">
      <c r="A170" s="1" t="s">
        <v>383</v>
      </c>
      <c r="B170" s="2">
        <v>45660</v>
      </c>
      <c r="C170" s="1" t="str">
        <f t="shared" si="4"/>
        <v>Fri</v>
      </c>
      <c r="D170" s="1" t="str">
        <f t="shared" si="5"/>
        <v>Weekday</v>
      </c>
      <c r="E170" s="3">
        <v>0.78125</v>
      </c>
      <c r="F170" s="1" t="s">
        <v>384</v>
      </c>
      <c r="G170" s="1" t="s">
        <v>84</v>
      </c>
      <c r="H170" s="1" t="s">
        <v>41</v>
      </c>
      <c r="I170" s="1" t="s">
        <v>51</v>
      </c>
      <c r="J170" s="1" t="s">
        <v>18</v>
      </c>
      <c r="K170" s="1">
        <v>4</v>
      </c>
      <c r="L170" s="1">
        <v>84</v>
      </c>
      <c r="M170" s="1">
        <v>336</v>
      </c>
      <c r="N170" s="1">
        <v>10</v>
      </c>
      <c r="O170" s="1">
        <v>326</v>
      </c>
      <c r="P170" s="1" t="s">
        <v>1048</v>
      </c>
      <c r="Q170" s="1">
        <v>41</v>
      </c>
      <c r="R170" s="1" t="s">
        <v>20</v>
      </c>
      <c r="S170" s="1">
        <v>3</v>
      </c>
    </row>
    <row r="171" spans="1:19" x14ac:dyDescent="0.3">
      <c r="A171" s="1" t="s">
        <v>385</v>
      </c>
      <c r="B171" s="2">
        <v>45931</v>
      </c>
      <c r="C171" s="1" t="str">
        <f t="shared" si="4"/>
        <v>Wed</v>
      </c>
      <c r="D171" s="1" t="str">
        <f t="shared" si="5"/>
        <v>Weekday</v>
      </c>
      <c r="E171" s="3">
        <v>0.37847222222222221</v>
      </c>
      <c r="F171" s="1" t="s">
        <v>386</v>
      </c>
      <c r="G171" s="1" t="s">
        <v>1047</v>
      </c>
      <c r="H171" s="1" t="s">
        <v>55</v>
      </c>
      <c r="I171" s="1" t="s">
        <v>36</v>
      </c>
      <c r="J171" s="1" t="s">
        <v>37</v>
      </c>
      <c r="K171" s="1">
        <v>3</v>
      </c>
      <c r="L171" s="1">
        <v>72</v>
      </c>
      <c r="M171" s="1">
        <v>216</v>
      </c>
      <c r="N171" s="1">
        <v>0</v>
      </c>
      <c r="O171" s="1">
        <v>216</v>
      </c>
      <c r="P171" s="1" t="s">
        <v>38</v>
      </c>
      <c r="Q171" s="1">
        <v>43</v>
      </c>
      <c r="R171" s="1" t="s">
        <v>20</v>
      </c>
      <c r="S171" s="1">
        <v>5</v>
      </c>
    </row>
    <row r="172" spans="1:19" x14ac:dyDescent="0.3">
      <c r="A172" s="1" t="s">
        <v>387</v>
      </c>
      <c r="B172" s="2">
        <v>45658</v>
      </c>
      <c r="C172" s="1" t="str">
        <f t="shared" si="4"/>
        <v>Wed</v>
      </c>
      <c r="D172" s="1" t="str">
        <f t="shared" si="5"/>
        <v>Weekday</v>
      </c>
      <c r="E172" s="3">
        <v>0.78125</v>
      </c>
      <c r="F172" s="1" t="s">
        <v>388</v>
      </c>
      <c r="G172" s="1" t="s">
        <v>34</v>
      </c>
      <c r="H172" s="1" t="s">
        <v>35</v>
      </c>
      <c r="I172" s="1" t="s">
        <v>17</v>
      </c>
      <c r="J172" s="1" t="s">
        <v>18</v>
      </c>
      <c r="K172" s="1">
        <v>2</v>
      </c>
      <c r="L172" s="1">
        <v>33</v>
      </c>
      <c r="M172" s="1">
        <v>66</v>
      </c>
      <c r="N172" s="1">
        <v>10</v>
      </c>
      <c r="O172" s="1">
        <v>56</v>
      </c>
      <c r="P172" s="1" t="s">
        <v>1048</v>
      </c>
      <c r="Q172" s="1">
        <v>20</v>
      </c>
      <c r="R172" s="1" t="s">
        <v>20</v>
      </c>
      <c r="S172" s="1">
        <v>2</v>
      </c>
    </row>
    <row r="173" spans="1:19" x14ac:dyDescent="0.3">
      <c r="A173" s="1" t="s">
        <v>389</v>
      </c>
      <c r="B173" s="2">
        <v>45664</v>
      </c>
      <c r="C173" s="1" t="str">
        <f t="shared" si="4"/>
        <v>Tue</v>
      </c>
      <c r="D173" s="1" t="str">
        <f t="shared" si="5"/>
        <v>Weekday</v>
      </c>
      <c r="E173" s="3">
        <v>0.76041666666666663</v>
      </c>
      <c r="F173" s="1" t="s">
        <v>390</v>
      </c>
      <c r="G173" s="1" t="s">
        <v>1047</v>
      </c>
      <c r="H173" s="1" t="s">
        <v>23</v>
      </c>
      <c r="I173" s="1" t="s">
        <v>17</v>
      </c>
      <c r="J173" s="1" t="s">
        <v>18</v>
      </c>
      <c r="K173" s="1">
        <v>6</v>
      </c>
      <c r="L173" s="1">
        <v>26</v>
      </c>
      <c r="M173" s="1">
        <v>156</v>
      </c>
      <c r="N173" s="1">
        <v>0</v>
      </c>
      <c r="O173" s="1">
        <v>156</v>
      </c>
      <c r="P173" s="1" t="s">
        <v>1049</v>
      </c>
      <c r="Q173" s="1">
        <v>22</v>
      </c>
      <c r="R173" s="1" t="s">
        <v>20</v>
      </c>
      <c r="S173" s="1">
        <v>2</v>
      </c>
    </row>
    <row r="174" spans="1:19" x14ac:dyDescent="0.3">
      <c r="A174" s="1" t="s">
        <v>391</v>
      </c>
      <c r="B174" s="2">
        <v>45870</v>
      </c>
      <c r="C174" s="1" t="str">
        <f t="shared" si="4"/>
        <v>Fri</v>
      </c>
      <c r="D174" s="1" t="str">
        <f t="shared" si="5"/>
        <v>Weekday</v>
      </c>
      <c r="E174" s="3">
        <v>0.4375</v>
      </c>
      <c r="F174" s="1" t="s">
        <v>392</v>
      </c>
      <c r="G174" s="1" t="s">
        <v>54</v>
      </c>
      <c r="H174" s="1" t="s">
        <v>64</v>
      </c>
      <c r="I174" s="1" t="s">
        <v>36</v>
      </c>
      <c r="J174" s="1" t="s">
        <v>37</v>
      </c>
      <c r="K174" s="1">
        <v>1</v>
      </c>
      <c r="L174" s="1">
        <v>80</v>
      </c>
      <c r="M174" s="1">
        <v>80</v>
      </c>
      <c r="N174" s="1">
        <v>0</v>
      </c>
      <c r="O174" s="1">
        <v>80</v>
      </c>
      <c r="P174" s="1" t="s">
        <v>1049</v>
      </c>
      <c r="Q174" s="1">
        <v>14</v>
      </c>
      <c r="R174" s="1" t="s">
        <v>20</v>
      </c>
      <c r="S174" s="1">
        <v>5</v>
      </c>
    </row>
    <row r="175" spans="1:19" x14ac:dyDescent="0.3">
      <c r="A175" s="1" t="s">
        <v>393</v>
      </c>
      <c r="B175" s="2">
        <v>45658</v>
      </c>
      <c r="C175" s="1" t="str">
        <f t="shared" si="4"/>
        <v>Wed</v>
      </c>
      <c r="D175" s="1" t="str">
        <f t="shared" si="5"/>
        <v>Weekday</v>
      </c>
      <c r="E175" s="3">
        <v>0.37847222222222221</v>
      </c>
      <c r="F175" s="1" t="s">
        <v>394</v>
      </c>
      <c r="G175" s="1" t="s">
        <v>84</v>
      </c>
      <c r="H175" s="1" t="s">
        <v>73</v>
      </c>
      <c r="I175" s="1" t="s">
        <v>30</v>
      </c>
      <c r="J175" s="1" t="s">
        <v>18</v>
      </c>
      <c r="K175" s="1">
        <v>5</v>
      </c>
      <c r="L175" s="1">
        <v>64</v>
      </c>
      <c r="M175" s="1">
        <v>320</v>
      </c>
      <c r="N175" s="1">
        <v>0</v>
      </c>
      <c r="O175" s="1">
        <v>320</v>
      </c>
      <c r="P175" s="1" t="s">
        <v>1048</v>
      </c>
      <c r="Q175" s="1">
        <v>46</v>
      </c>
      <c r="R175" s="1" t="s">
        <v>31</v>
      </c>
      <c r="S175" s="1">
        <v>1</v>
      </c>
    </row>
    <row r="176" spans="1:19" x14ac:dyDescent="0.3">
      <c r="A176" s="1" t="s">
        <v>395</v>
      </c>
      <c r="B176" s="2">
        <v>45839</v>
      </c>
      <c r="C176" s="1" t="str">
        <f t="shared" si="4"/>
        <v>Tue</v>
      </c>
      <c r="D176" s="1" t="str">
        <f t="shared" si="5"/>
        <v>Weekday</v>
      </c>
      <c r="E176" s="3">
        <v>0.37847222222222221</v>
      </c>
      <c r="F176" s="1" t="s">
        <v>396</v>
      </c>
      <c r="G176" s="1" t="s">
        <v>54</v>
      </c>
      <c r="H176" s="1" t="s">
        <v>41</v>
      </c>
      <c r="I176" s="1" t="s">
        <v>99</v>
      </c>
      <c r="J176" s="1" t="s">
        <v>100</v>
      </c>
      <c r="K176" s="1">
        <v>1</v>
      </c>
      <c r="L176" s="1">
        <v>19</v>
      </c>
      <c r="M176" s="1">
        <v>19</v>
      </c>
      <c r="N176" s="1">
        <v>0</v>
      </c>
      <c r="O176" s="1">
        <v>19</v>
      </c>
      <c r="P176" s="1" t="s">
        <v>1049</v>
      </c>
      <c r="Q176" s="1">
        <v>60</v>
      </c>
      <c r="R176" s="1" t="s">
        <v>20</v>
      </c>
      <c r="S176" s="1">
        <v>1</v>
      </c>
    </row>
    <row r="177" spans="1:19" x14ac:dyDescent="0.3">
      <c r="A177" s="1" t="s">
        <v>397</v>
      </c>
      <c r="B177" s="2">
        <v>45659</v>
      </c>
      <c r="C177" s="1" t="str">
        <f t="shared" si="4"/>
        <v>Thu</v>
      </c>
      <c r="D177" s="1" t="str">
        <f t="shared" si="5"/>
        <v>Weekday</v>
      </c>
      <c r="E177" s="3">
        <v>0.76041666666666663</v>
      </c>
      <c r="F177" s="1" t="s">
        <v>398</v>
      </c>
      <c r="G177" s="1" t="s">
        <v>34</v>
      </c>
      <c r="H177" s="1" t="s">
        <v>73</v>
      </c>
      <c r="I177" s="1" t="s">
        <v>87</v>
      </c>
      <c r="J177" s="1" t="s">
        <v>88</v>
      </c>
      <c r="K177" s="1">
        <v>6</v>
      </c>
      <c r="L177" s="1">
        <v>30</v>
      </c>
      <c r="M177" s="1">
        <v>180</v>
      </c>
      <c r="N177" s="1">
        <v>5</v>
      </c>
      <c r="O177" s="1">
        <v>175</v>
      </c>
      <c r="P177" s="1" t="s">
        <v>19</v>
      </c>
      <c r="Q177" s="1">
        <v>32</v>
      </c>
      <c r="R177" s="1" t="s">
        <v>31</v>
      </c>
      <c r="S177" s="1">
        <v>3</v>
      </c>
    </row>
    <row r="178" spans="1:19" x14ac:dyDescent="0.3">
      <c r="A178" s="1" t="s">
        <v>399</v>
      </c>
      <c r="B178" s="2">
        <v>45663</v>
      </c>
      <c r="C178" s="1" t="str">
        <f t="shared" si="4"/>
        <v>Mon</v>
      </c>
      <c r="D178" s="1" t="str">
        <f t="shared" si="5"/>
        <v>Weekday</v>
      </c>
      <c r="E178" s="3">
        <v>0.76041666666666663</v>
      </c>
      <c r="F178" s="1" t="s">
        <v>400</v>
      </c>
      <c r="G178" s="1" t="s">
        <v>48</v>
      </c>
      <c r="H178" s="1" t="s">
        <v>35</v>
      </c>
      <c r="I178" s="1" t="s">
        <v>24</v>
      </c>
      <c r="J178" s="1" t="s">
        <v>25</v>
      </c>
      <c r="K178" s="1">
        <v>1</v>
      </c>
      <c r="L178" s="1">
        <v>96</v>
      </c>
      <c r="M178" s="1">
        <v>96</v>
      </c>
      <c r="N178" s="1">
        <v>0</v>
      </c>
      <c r="O178" s="1">
        <v>96</v>
      </c>
      <c r="P178" s="1" t="s">
        <v>38</v>
      </c>
      <c r="Q178" s="1">
        <v>52</v>
      </c>
      <c r="R178" s="1" t="s">
        <v>31</v>
      </c>
      <c r="S178" s="1">
        <v>4</v>
      </c>
    </row>
    <row r="179" spans="1:19" x14ac:dyDescent="0.3">
      <c r="A179" s="1" t="s">
        <v>401</v>
      </c>
      <c r="B179" s="2">
        <v>45668</v>
      </c>
      <c r="C179" s="1" t="str">
        <f t="shared" si="4"/>
        <v>Sat</v>
      </c>
      <c r="D179" s="1" t="str">
        <f t="shared" si="5"/>
        <v>Weekend</v>
      </c>
      <c r="E179" s="3">
        <v>0.37847222222222221</v>
      </c>
      <c r="F179" s="1" t="s">
        <v>402</v>
      </c>
      <c r="G179" s="1" t="s">
        <v>48</v>
      </c>
      <c r="H179" s="1" t="s">
        <v>41</v>
      </c>
      <c r="I179" s="1" t="s">
        <v>17</v>
      </c>
      <c r="J179" s="1" t="s">
        <v>18</v>
      </c>
      <c r="K179" s="1">
        <v>3</v>
      </c>
      <c r="L179" s="1">
        <v>91</v>
      </c>
      <c r="M179" s="1">
        <v>273</v>
      </c>
      <c r="N179" s="1">
        <v>5</v>
      </c>
      <c r="O179" s="1">
        <v>268</v>
      </c>
      <c r="P179" s="1" t="s">
        <v>1048</v>
      </c>
      <c r="Q179" s="1">
        <v>46</v>
      </c>
      <c r="R179" s="1" t="s">
        <v>20</v>
      </c>
      <c r="S179" s="1">
        <v>2</v>
      </c>
    </row>
    <row r="180" spans="1:19" x14ac:dyDescent="0.3">
      <c r="A180" s="1" t="s">
        <v>403</v>
      </c>
      <c r="B180" s="2">
        <v>45661</v>
      </c>
      <c r="C180" s="1" t="str">
        <f t="shared" si="4"/>
        <v>Sat</v>
      </c>
      <c r="D180" s="1" t="str">
        <f t="shared" si="5"/>
        <v>Weekend</v>
      </c>
      <c r="E180" s="3">
        <v>0.76041666666666663</v>
      </c>
      <c r="F180" s="1" t="s">
        <v>404</v>
      </c>
      <c r="G180" s="1" t="s">
        <v>48</v>
      </c>
      <c r="H180" s="1" t="s">
        <v>73</v>
      </c>
      <c r="I180" s="1" t="s">
        <v>74</v>
      </c>
      <c r="J180" s="1" t="s">
        <v>75</v>
      </c>
      <c r="K180" s="1">
        <v>4</v>
      </c>
      <c r="L180" s="1">
        <v>79</v>
      </c>
      <c r="M180" s="1">
        <v>316</v>
      </c>
      <c r="N180" s="1">
        <v>0</v>
      </c>
      <c r="O180" s="1">
        <v>316</v>
      </c>
      <c r="P180" s="1" t="s">
        <v>38</v>
      </c>
      <c r="Q180" s="1">
        <v>16</v>
      </c>
      <c r="R180" s="1" t="s">
        <v>20</v>
      </c>
      <c r="S180" s="1">
        <v>1</v>
      </c>
    </row>
    <row r="181" spans="1:19" x14ac:dyDescent="0.3">
      <c r="A181" s="1" t="s">
        <v>405</v>
      </c>
      <c r="B181" s="2">
        <v>45809</v>
      </c>
      <c r="C181" s="1" t="str">
        <f t="shared" si="4"/>
        <v>Sun</v>
      </c>
      <c r="D181" s="1" t="str">
        <f t="shared" si="5"/>
        <v>Weekend</v>
      </c>
      <c r="E181" s="3">
        <v>0.76041666666666663</v>
      </c>
      <c r="F181" s="1" t="s">
        <v>406</v>
      </c>
      <c r="G181" s="1" t="s">
        <v>48</v>
      </c>
      <c r="H181" s="1" t="s">
        <v>73</v>
      </c>
      <c r="I181" s="1" t="s">
        <v>30</v>
      </c>
      <c r="J181" s="1" t="s">
        <v>18</v>
      </c>
      <c r="K181" s="1">
        <v>4</v>
      </c>
      <c r="L181" s="1">
        <v>60</v>
      </c>
      <c r="M181" s="1">
        <v>240</v>
      </c>
      <c r="N181" s="1">
        <v>10</v>
      </c>
      <c r="O181" s="1">
        <v>230</v>
      </c>
      <c r="P181" s="1" t="s">
        <v>38</v>
      </c>
      <c r="Q181" s="1">
        <v>38</v>
      </c>
      <c r="R181" s="1" t="s">
        <v>31</v>
      </c>
      <c r="S181" s="1"/>
    </row>
    <row r="182" spans="1:19" x14ac:dyDescent="0.3">
      <c r="A182" s="1" t="s">
        <v>407</v>
      </c>
      <c r="B182" s="2">
        <v>45658</v>
      </c>
      <c r="C182" s="1" t="str">
        <f t="shared" si="4"/>
        <v>Wed</v>
      </c>
      <c r="D182" s="1" t="str">
        <f t="shared" si="5"/>
        <v>Weekday</v>
      </c>
      <c r="E182" s="3">
        <v>0.78125</v>
      </c>
      <c r="F182" s="1" t="s">
        <v>408</v>
      </c>
      <c r="G182" s="1" t="s">
        <v>48</v>
      </c>
      <c r="H182" s="1" t="s">
        <v>16</v>
      </c>
      <c r="I182" s="1" t="s">
        <v>30</v>
      </c>
      <c r="J182" s="1" t="s">
        <v>18</v>
      </c>
      <c r="K182" s="1">
        <v>1</v>
      </c>
      <c r="L182" s="1">
        <v>61</v>
      </c>
      <c r="M182" s="1">
        <v>61</v>
      </c>
      <c r="N182" s="1">
        <v>0</v>
      </c>
      <c r="O182" s="1">
        <v>61</v>
      </c>
      <c r="P182" s="1" t="s">
        <v>38</v>
      </c>
      <c r="Q182" s="1">
        <v>52</v>
      </c>
      <c r="R182" s="1" t="s">
        <v>20</v>
      </c>
      <c r="S182" s="1">
        <v>3</v>
      </c>
    </row>
    <row r="183" spans="1:19" x14ac:dyDescent="0.3">
      <c r="A183" s="1" t="s">
        <v>409</v>
      </c>
      <c r="B183" s="2">
        <v>45901</v>
      </c>
      <c r="C183" s="1" t="str">
        <f t="shared" si="4"/>
        <v>Mon</v>
      </c>
      <c r="D183" s="1" t="str">
        <f t="shared" si="5"/>
        <v>Weekday</v>
      </c>
      <c r="E183" s="3">
        <v>0.4375</v>
      </c>
      <c r="F183" s="1" t="s">
        <v>410</v>
      </c>
      <c r="G183" s="1" t="s">
        <v>45</v>
      </c>
      <c r="H183" s="1" t="s">
        <v>16</v>
      </c>
      <c r="I183" s="1" t="s">
        <v>99</v>
      </c>
      <c r="J183" s="1" t="s">
        <v>100</v>
      </c>
      <c r="K183" s="1">
        <v>2</v>
      </c>
      <c r="L183" s="1">
        <v>41</v>
      </c>
      <c r="M183" s="1">
        <v>82</v>
      </c>
      <c r="N183" s="1">
        <v>5</v>
      </c>
      <c r="O183" s="1">
        <v>77</v>
      </c>
      <c r="P183" s="1" t="s">
        <v>38</v>
      </c>
      <c r="Q183" s="1">
        <v>14</v>
      </c>
      <c r="R183" s="1" t="s">
        <v>20</v>
      </c>
      <c r="S183" s="1">
        <v>2</v>
      </c>
    </row>
    <row r="184" spans="1:19" x14ac:dyDescent="0.3">
      <c r="A184" s="1" t="s">
        <v>411</v>
      </c>
      <c r="B184" s="2">
        <v>45689</v>
      </c>
      <c r="C184" s="1" t="str">
        <f t="shared" si="4"/>
        <v>Sat</v>
      </c>
      <c r="D184" s="1" t="str">
        <f t="shared" si="5"/>
        <v>Weekend</v>
      </c>
      <c r="E184" s="3">
        <v>0.37847222222222221</v>
      </c>
      <c r="F184" s="1" t="s">
        <v>412</v>
      </c>
      <c r="G184" s="1" t="s">
        <v>48</v>
      </c>
      <c r="H184" s="1" t="s">
        <v>64</v>
      </c>
      <c r="I184" s="1" t="s">
        <v>42</v>
      </c>
      <c r="J184" s="1" t="s">
        <v>25</v>
      </c>
      <c r="K184" s="1">
        <v>3</v>
      </c>
      <c r="L184" s="1">
        <v>46</v>
      </c>
      <c r="M184" s="1">
        <v>138</v>
      </c>
      <c r="N184" s="1">
        <v>0</v>
      </c>
      <c r="O184" s="1">
        <v>138</v>
      </c>
      <c r="P184" s="1" t="s">
        <v>19</v>
      </c>
      <c r="Q184" s="1">
        <v>52</v>
      </c>
      <c r="R184" s="1" t="s">
        <v>31</v>
      </c>
      <c r="S184" s="1">
        <v>1</v>
      </c>
    </row>
    <row r="185" spans="1:19" x14ac:dyDescent="0.3">
      <c r="A185" s="1" t="s">
        <v>413</v>
      </c>
      <c r="B185" s="2">
        <v>45664</v>
      </c>
      <c r="C185" s="1" t="str">
        <f t="shared" si="4"/>
        <v>Tue</v>
      </c>
      <c r="D185" s="1" t="str">
        <f t="shared" si="5"/>
        <v>Weekday</v>
      </c>
      <c r="E185" s="3">
        <v>0.4375</v>
      </c>
      <c r="F185" s="1" t="s">
        <v>414</v>
      </c>
      <c r="G185" s="1" t="s">
        <v>84</v>
      </c>
      <c r="H185" s="1" t="s">
        <v>35</v>
      </c>
      <c r="I185" s="1" t="s">
        <v>24</v>
      </c>
      <c r="J185" s="1" t="s">
        <v>25</v>
      </c>
      <c r="K185" s="1">
        <v>5</v>
      </c>
      <c r="L185" s="1">
        <v>119</v>
      </c>
      <c r="M185" s="1">
        <v>595</v>
      </c>
      <c r="N185" s="1">
        <v>0</v>
      </c>
      <c r="O185" s="1">
        <v>595</v>
      </c>
      <c r="P185" s="1" t="s">
        <v>1049</v>
      </c>
      <c r="Q185" s="1">
        <v>39</v>
      </c>
      <c r="R185" s="1" t="s">
        <v>20</v>
      </c>
      <c r="S185" s="1">
        <v>3</v>
      </c>
    </row>
    <row r="186" spans="1:19" x14ac:dyDescent="0.3">
      <c r="A186" s="1" t="s">
        <v>415</v>
      </c>
      <c r="B186" s="2">
        <v>45660</v>
      </c>
      <c r="C186" s="1" t="str">
        <f t="shared" si="4"/>
        <v>Fri</v>
      </c>
      <c r="D186" s="1" t="str">
        <f t="shared" si="5"/>
        <v>Weekday</v>
      </c>
      <c r="E186" s="3">
        <v>0.76041666666666663</v>
      </c>
      <c r="F186" s="1" t="s">
        <v>416</v>
      </c>
      <c r="G186" s="1" t="s">
        <v>34</v>
      </c>
      <c r="H186" s="1" t="s">
        <v>73</v>
      </c>
      <c r="I186" s="1" t="s">
        <v>74</v>
      </c>
      <c r="J186" s="1" t="s">
        <v>75</v>
      </c>
      <c r="K186" s="1">
        <v>1</v>
      </c>
      <c r="L186" s="1">
        <v>87</v>
      </c>
      <c r="M186" s="1">
        <v>87</v>
      </c>
      <c r="N186" s="1">
        <v>0</v>
      </c>
      <c r="O186" s="1">
        <v>87</v>
      </c>
      <c r="P186" s="1" t="s">
        <v>1049</v>
      </c>
      <c r="Q186" s="1">
        <v>54</v>
      </c>
      <c r="R186" s="1" t="s">
        <v>20</v>
      </c>
      <c r="S186" s="1"/>
    </row>
    <row r="187" spans="1:19" x14ac:dyDescent="0.3">
      <c r="A187" s="1" t="s">
        <v>417</v>
      </c>
      <c r="B187" s="2">
        <v>45931</v>
      </c>
      <c r="C187" s="1" t="str">
        <f t="shared" si="4"/>
        <v>Wed</v>
      </c>
      <c r="D187" s="1" t="str">
        <f t="shared" si="5"/>
        <v>Weekday</v>
      </c>
      <c r="E187" s="3">
        <v>0.78125</v>
      </c>
      <c r="F187" s="1" t="s">
        <v>418</v>
      </c>
      <c r="G187" s="1" t="s">
        <v>34</v>
      </c>
      <c r="H187" s="1" t="s">
        <v>55</v>
      </c>
      <c r="I187" s="1" t="s">
        <v>87</v>
      </c>
      <c r="J187" s="1" t="s">
        <v>88</v>
      </c>
      <c r="K187" s="1">
        <v>1</v>
      </c>
      <c r="L187" s="1">
        <v>17</v>
      </c>
      <c r="M187" s="1">
        <v>17</v>
      </c>
      <c r="N187" s="1">
        <v>10</v>
      </c>
      <c r="O187" s="1">
        <v>7</v>
      </c>
      <c r="P187" s="1" t="s">
        <v>1049</v>
      </c>
      <c r="Q187" s="1">
        <v>59</v>
      </c>
      <c r="R187" s="1" t="s">
        <v>31</v>
      </c>
      <c r="S187" s="1">
        <v>3</v>
      </c>
    </row>
    <row r="188" spans="1:19" x14ac:dyDescent="0.3">
      <c r="A188" s="1" t="s">
        <v>419</v>
      </c>
      <c r="B188" s="2">
        <v>45931</v>
      </c>
      <c r="C188" s="1" t="str">
        <f t="shared" si="4"/>
        <v>Wed</v>
      </c>
      <c r="D188" s="1" t="str">
        <f t="shared" si="5"/>
        <v>Weekday</v>
      </c>
      <c r="E188" s="3">
        <v>0.76041666666666663</v>
      </c>
      <c r="F188" s="1" t="s">
        <v>420</v>
      </c>
      <c r="G188" s="1" t="s">
        <v>48</v>
      </c>
      <c r="H188" s="1" t="s">
        <v>55</v>
      </c>
      <c r="I188" s="1" t="s">
        <v>51</v>
      </c>
      <c r="J188" s="1" t="s">
        <v>18</v>
      </c>
      <c r="K188" s="1">
        <v>5</v>
      </c>
      <c r="L188" s="1">
        <v>52</v>
      </c>
      <c r="M188" s="1">
        <v>260</v>
      </c>
      <c r="N188" s="1">
        <v>0</v>
      </c>
      <c r="O188" s="1">
        <v>260</v>
      </c>
      <c r="P188" s="1" t="s">
        <v>1049</v>
      </c>
      <c r="Q188" s="1">
        <v>29</v>
      </c>
      <c r="R188" s="1" t="s">
        <v>31</v>
      </c>
      <c r="S188" s="1">
        <v>1</v>
      </c>
    </row>
    <row r="189" spans="1:19" x14ac:dyDescent="0.3">
      <c r="A189" s="1" t="s">
        <v>421</v>
      </c>
      <c r="B189" s="2">
        <v>45689</v>
      </c>
      <c r="C189" s="1" t="str">
        <f t="shared" si="4"/>
        <v>Sat</v>
      </c>
      <c r="D189" s="1" t="str">
        <f t="shared" si="5"/>
        <v>Weekend</v>
      </c>
      <c r="E189" s="3">
        <v>0.76041666666666663</v>
      </c>
      <c r="F189" s="1" t="s">
        <v>422</v>
      </c>
      <c r="G189" s="1" t="s">
        <v>28</v>
      </c>
      <c r="H189" s="1" t="s">
        <v>29</v>
      </c>
      <c r="I189" s="1" t="s">
        <v>17</v>
      </c>
      <c r="J189" s="1" t="s">
        <v>18</v>
      </c>
      <c r="K189" s="1">
        <v>4</v>
      </c>
      <c r="L189" s="1">
        <v>22</v>
      </c>
      <c r="M189" s="1">
        <v>88</v>
      </c>
      <c r="N189" s="1">
        <v>10</v>
      </c>
      <c r="O189" s="1">
        <v>78</v>
      </c>
      <c r="P189" s="1" t="s">
        <v>19</v>
      </c>
      <c r="Q189" s="1">
        <v>35</v>
      </c>
      <c r="R189" s="1" t="s">
        <v>31</v>
      </c>
      <c r="S189" s="1">
        <v>2</v>
      </c>
    </row>
    <row r="190" spans="1:19" x14ac:dyDescent="0.3">
      <c r="A190" s="1" t="s">
        <v>423</v>
      </c>
      <c r="B190" s="2">
        <v>45717</v>
      </c>
      <c r="C190" s="1" t="str">
        <f t="shared" si="4"/>
        <v>Sat</v>
      </c>
      <c r="D190" s="1" t="str">
        <f t="shared" si="5"/>
        <v>Weekend</v>
      </c>
      <c r="E190" s="3">
        <v>0.76041666666666663</v>
      </c>
      <c r="F190" s="1" t="s">
        <v>424</v>
      </c>
      <c r="G190" s="1" t="s">
        <v>45</v>
      </c>
      <c r="H190" s="1" t="s">
        <v>23</v>
      </c>
      <c r="I190" s="1" t="s">
        <v>99</v>
      </c>
      <c r="J190" s="1" t="s">
        <v>100</v>
      </c>
      <c r="K190" s="1">
        <v>5</v>
      </c>
      <c r="L190" s="1">
        <v>92</v>
      </c>
      <c r="M190" s="1">
        <v>460</v>
      </c>
      <c r="N190" s="1">
        <v>0</v>
      </c>
      <c r="O190" s="1">
        <v>460</v>
      </c>
      <c r="P190" s="1" t="s">
        <v>19</v>
      </c>
      <c r="Q190" s="1">
        <v>27</v>
      </c>
      <c r="R190" s="1" t="s">
        <v>31</v>
      </c>
      <c r="S190" s="1">
        <v>2</v>
      </c>
    </row>
    <row r="191" spans="1:19" x14ac:dyDescent="0.3">
      <c r="A191" s="1" t="s">
        <v>425</v>
      </c>
      <c r="B191" s="2">
        <v>45664</v>
      </c>
      <c r="C191" s="1" t="str">
        <f t="shared" si="4"/>
        <v>Tue</v>
      </c>
      <c r="D191" s="1" t="str">
        <f t="shared" si="5"/>
        <v>Weekday</v>
      </c>
      <c r="E191" s="3">
        <v>0.78125</v>
      </c>
      <c r="F191" s="1" t="s">
        <v>426</v>
      </c>
      <c r="G191" s="1" t="s">
        <v>1047</v>
      </c>
      <c r="H191" s="1" t="s">
        <v>64</v>
      </c>
      <c r="I191" s="1" t="s">
        <v>74</v>
      </c>
      <c r="J191" s="1" t="s">
        <v>75</v>
      </c>
      <c r="K191" s="1">
        <v>3</v>
      </c>
      <c r="L191" s="1">
        <v>31</v>
      </c>
      <c r="M191" s="1">
        <v>93</v>
      </c>
      <c r="N191" s="1">
        <v>5</v>
      </c>
      <c r="O191" s="1">
        <v>88</v>
      </c>
      <c r="P191" s="1" t="s">
        <v>19</v>
      </c>
      <c r="Q191" s="1">
        <v>39</v>
      </c>
      <c r="R191" s="1" t="s">
        <v>20</v>
      </c>
      <c r="S191" s="1">
        <v>3</v>
      </c>
    </row>
    <row r="192" spans="1:19" x14ac:dyDescent="0.3">
      <c r="A192" s="1" t="s">
        <v>427</v>
      </c>
      <c r="B192" s="2">
        <v>45664</v>
      </c>
      <c r="C192" s="1" t="str">
        <f t="shared" si="4"/>
        <v>Tue</v>
      </c>
      <c r="D192" s="1" t="str">
        <f t="shared" si="5"/>
        <v>Weekday</v>
      </c>
      <c r="E192" s="3">
        <v>0.78125</v>
      </c>
      <c r="F192" s="1" t="s">
        <v>428</v>
      </c>
      <c r="G192" s="1" t="s">
        <v>34</v>
      </c>
      <c r="H192" s="1" t="s">
        <v>16</v>
      </c>
      <c r="I192" s="1" t="s">
        <v>36</v>
      </c>
      <c r="J192" s="1" t="s">
        <v>37</v>
      </c>
      <c r="K192" s="1">
        <v>2</v>
      </c>
      <c r="L192" s="1">
        <v>12</v>
      </c>
      <c r="M192" s="1">
        <v>24</v>
      </c>
      <c r="N192" s="1">
        <v>10</v>
      </c>
      <c r="O192" s="1">
        <v>14</v>
      </c>
      <c r="P192" s="1" t="s">
        <v>1048</v>
      </c>
      <c r="Q192" s="1">
        <v>39</v>
      </c>
      <c r="R192" s="1" t="s">
        <v>31</v>
      </c>
      <c r="S192" s="1">
        <v>5</v>
      </c>
    </row>
    <row r="193" spans="1:19" x14ac:dyDescent="0.3">
      <c r="A193" s="1" t="s">
        <v>429</v>
      </c>
      <c r="B193" s="2">
        <v>45661</v>
      </c>
      <c r="C193" s="1" t="str">
        <f t="shared" si="4"/>
        <v>Sat</v>
      </c>
      <c r="D193" s="1" t="str">
        <f t="shared" si="5"/>
        <v>Weekend</v>
      </c>
      <c r="E193" s="3">
        <v>0.76041666666666663</v>
      </c>
      <c r="F193" s="1" t="s">
        <v>430</v>
      </c>
      <c r="G193" s="1" t="s">
        <v>48</v>
      </c>
      <c r="H193" s="1" t="s">
        <v>55</v>
      </c>
      <c r="I193" s="1" t="s">
        <v>51</v>
      </c>
      <c r="J193" s="1" t="s">
        <v>18</v>
      </c>
      <c r="K193" s="1">
        <v>3</v>
      </c>
      <c r="L193" s="1">
        <v>55</v>
      </c>
      <c r="M193" s="1">
        <v>165</v>
      </c>
      <c r="N193" s="1">
        <v>0</v>
      </c>
      <c r="O193" s="1">
        <v>165</v>
      </c>
      <c r="P193" s="1" t="s">
        <v>19</v>
      </c>
      <c r="Q193" s="1">
        <v>14</v>
      </c>
      <c r="R193" s="1" t="s">
        <v>31</v>
      </c>
      <c r="S193" s="1">
        <v>5</v>
      </c>
    </row>
    <row r="194" spans="1:19" x14ac:dyDescent="0.3">
      <c r="A194" s="1" t="s">
        <v>431</v>
      </c>
      <c r="B194" s="2">
        <v>45663</v>
      </c>
      <c r="C194" s="1" t="str">
        <f t="shared" ref="C194:C257" si="6">TEXT(B194,"DDD")</f>
        <v>Mon</v>
      </c>
      <c r="D194" s="1" t="str">
        <f t="shared" si="5"/>
        <v>Weekday</v>
      </c>
      <c r="E194" s="3">
        <v>0.76041666666666663</v>
      </c>
      <c r="F194" s="1" t="s">
        <v>432</v>
      </c>
      <c r="G194" s="1" t="s">
        <v>1047</v>
      </c>
      <c r="H194" s="1" t="s">
        <v>73</v>
      </c>
      <c r="I194" s="1" t="s">
        <v>36</v>
      </c>
      <c r="J194" s="1" t="s">
        <v>37</v>
      </c>
      <c r="K194" s="1">
        <v>4</v>
      </c>
      <c r="L194" s="1">
        <v>20</v>
      </c>
      <c r="M194" s="1">
        <v>90</v>
      </c>
      <c r="N194" s="1">
        <v>0</v>
      </c>
      <c r="O194" s="1">
        <v>80</v>
      </c>
      <c r="P194" s="1" t="s">
        <v>1048</v>
      </c>
      <c r="Q194" s="1">
        <v>58</v>
      </c>
      <c r="R194" s="1" t="s">
        <v>20</v>
      </c>
      <c r="S194" s="1">
        <v>5</v>
      </c>
    </row>
    <row r="195" spans="1:19" x14ac:dyDescent="0.3">
      <c r="A195" s="1" t="s">
        <v>433</v>
      </c>
      <c r="B195" s="2">
        <v>45778</v>
      </c>
      <c r="C195" s="1" t="str">
        <f t="shared" si="6"/>
        <v>Thu</v>
      </c>
      <c r="D195" s="1" t="str">
        <f t="shared" ref="D195:D258" si="7">IF(OR(C195="Sat",C195="Sun"),"Weekend","Weekday")</f>
        <v>Weekday</v>
      </c>
      <c r="E195" s="3">
        <v>0.76041666666666663</v>
      </c>
      <c r="F195" s="1" t="s">
        <v>434</v>
      </c>
      <c r="G195" s="1" t="s">
        <v>34</v>
      </c>
      <c r="H195" s="1" t="s">
        <v>16</v>
      </c>
      <c r="I195" s="1" t="s">
        <v>17</v>
      </c>
      <c r="J195" s="1" t="s">
        <v>18</v>
      </c>
      <c r="K195" s="1">
        <v>4</v>
      </c>
      <c r="L195" s="1">
        <v>56</v>
      </c>
      <c r="M195" s="1">
        <v>224</v>
      </c>
      <c r="N195" s="1">
        <v>0</v>
      </c>
      <c r="O195" s="1">
        <v>224</v>
      </c>
      <c r="P195" s="1" t="s">
        <v>19</v>
      </c>
      <c r="Q195" s="1">
        <v>33</v>
      </c>
      <c r="R195" s="1" t="s">
        <v>20</v>
      </c>
      <c r="S195" s="1">
        <v>2</v>
      </c>
    </row>
    <row r="196" spans="1:19" x14ac:dyDescent="0.3">
      <c r="A196" s="1" t="s">
        <v>435</v>
      </c>
      <c r="B196" s="2">
        <v>45665</v>
      </c>
      <c r="C196" s="1" t="str">
        <f t="shared" si="6"/>
        <v>Wed</v>
      </c>
      <c r="D196" s="1" t="str">
        <f t="shared" si="7"/>
        <v>Weekday</v>
      </c>
      <c r="E196" s="3">
        <v>0.76041666666666663</v>
      </c>
      <c r="F196" s="1" t="s">
        <v>436</v>
      </c>
      <c r="G196" s="1" t="s">
        <v>1047</v>
      </c>
      <c r="H196" s="1" t="s">
        <v>35</v>
      </c>
      <c r="I196" s="1" t="s">
        <v>42</v>
      </c>
      <c r="J196" s="1" t="s">
        <v>25</v>
      </c>
      <c r="K196" s="1">
        <v>2</v>
      </c>
      <c r="L196" s="1">
        <v>58</v>
      </c>
      <c r="M196" s="1">
        <v>116</v>
      </c>
      <c r="N196" s="1">
        <v>10</v>
      </c>
      <c r="O196" s="1">
        <v>106</v>
      </c>
      <c r="P196" s="1" t="s">
        <v>1048</v>
      </c>
      <c r="Q196" s="1">
        <v>20</v>
      </c>
      <c r="R196" s="1" t="s">
        <v>20</v>
      </c>
      <c r="S196" s="1">
        <v>5</v>
      </c>
    </row>
    <row r="197" spans="1:19" x14ac:dyDescent="0.3">
      <c r="A197" s="1" t="s">
        <v>437</v>
      </c>
      <c r="B197" s="2">
        <v>45809</v>
      </c>
      <c r="C197" s="1" t="str">
        <f t="shared" si="6"/>
        <v>Sun</v>
      </c>
      <c r="D197" s="1" t="str">
        <f t="shared" si="7"/>
        <v>Weekend</v>
      </c>
      <c r="E197" s="3">
        <v>0.78125</v>
      </c>
      <c r="F197" s="1" t="s">
        <v>438</v>
      </c>
      <c r="G197" s="1" t="s">
        <v>28</v>
      </c>
      <c r="H197" s="1" t="s">
        <v>64</v>
      </c>
      <c r="I197" s="1" t="s">
        <v>17</v>
      </c>
      <c r="J197" s="1" t="s">
        <v>18</v>
      </c>
      <c r="K197" s="1">
        <v>6</v>
      </c>
      <c r="L197" s="1">
        <v>66</v>
      </c>
      <c r="M197" s="1">
        <v>396</v>
      </c>
      <c r="N197" s="1">
        <v>10</v>
      </c>
      <c r="O197" s="1">
        <v>386</v>
      </c>
      <c r="P197" s="1" t="s">
        <v>38</v>
      </c>
      <c r="Q197" s="1">
        <v>14</v>
      </c>
      <c r="R197" s="1" t="s">
        <v>20</v>
      </c>
      <c r="S197" s="1">
        <v>2</v>
      </c>
    </row>
    <row r="198" spans="1:19" x14ac:dyDescent="0.3">
      <c r="A198" s="1" t="s">
        <v>439</v>
      </c>
      <c r="B198" s="2">
        <v>45778</v>
      </c>
      <c r="C198" s="1" t="str">
        <f t="shared" si="6"/>
        <v>Thu</v>
      </c>
      <c r="D198" s="1" t="str">
        <f t="shared" si="7"/>
        <v>Weekday</v>
      </c>
      <c r="E198" s="3">
        <v>0.76041666666666663</v>
      </c>
      <c r="F198" s="1" t="s">
        <v>440</v>
      </c>
      <c r="G198" s="1" t="s">
        <v>34</v>
      </c>
      <c r="H198" s="1" t="s">
        <v>73</v>
      </c>
      <c r="I198" s="1" t="s">
        <v>51</v>
      </c>
      <c r="J198" s="1" t="s">
        <v>18</v>
      </c>
      <c r="K198" s="1">
        <v>5</v>
      </c>
      <c r="L198" s="1">
        <v>75</v>
      </c>
      <c r="M198" s="1">
        <v>375</v>
      </c>
      <c r="N198" s="1">
        <v>0</v>
      </c>
      <c r="O198" s="1">
        <v>375</v>
      </c>
      <c r="P198" s="1" t="s">
        <v>1048</v>
      </c>
      <c r="Q198" s="1">
        <v>54</v>
      </c>
      <c r="R198" s="1" t="s">
        <v>31</v>
      </c>
      <c r="S198" s="1">
        <v>4</v>
      </c>
    </row>
    <row r="199" spans="1:19" x14ac:dyDescent="0.3">
      <c r="A199" s="1" t="s">
        <v>441</v>
      </c>
      <c r="B199" s="2">
        <v>45665</v>
      </c>
      <c r="C199" s="1" t="str">
        <f t="shared" si="6"/>
        <v>Wed</v>
      </c>
      <c r="D199" s="1" t="str">
        <f t="shared" si="7"/>
        <v>Weekday</v>
      </c>
      <c r="E199" s="3">
        <v>0.4375</v>
      </c>
      <c r="F199" s="1" t="s">
        <v>442</v>
      </c>
      <c r="G199" s="1" t="s">
        <v>1047</v>
      </c>
      <c r="H199" s="1" t="s">
        <v>35</v>
      </c>
      <c r="I199" s="1" t="s">
        <v>36</v>
      </c>
      <c r="J199" s="1" t="s">
        <v>37</v>
      </c>
      <c r="K199" s="1">
        <v>5</v>
      </c>
      <c r="L199" s="1">
        <v>119</v>
      </c>
      <c r="M199" s="1">
        <v>595</v>
      </c>
      <c r="N199" s="1">
        <v>5</v>
      </c>
      <c r="O199" s="1">
        <v>590</v>
      </c>
      <c r="P199" s="1" t="s">
        <v>19</v>
      </c>
      <c r="Q199" s="1">
        <v>28</v>
      </c>
      <c r="R199" s="1" t="s">
        <v>31</v>
      </c>
      <c r="S199" s="1">
        <v>4</v>
      </c>
    </row>
    <row r="200" spans="1:19" x14ac:dyDescent="0.3">
      <c r="A200" s="1" t="s">
        <v>443</v>
      </c>
      <c r="B200" s="2">
        <v>45870</v>
      </c>
      <c r="C200" s="1" t="str">
        <f t="shared" si="6"/>
        <v>Fri</v>
      </c>
      <c r="D200" s="1" t="str">
        <f t="shared" si="7"/>
        <v>Weekday</v>
      </c>
      <c r="E200" s="3">
        <v>0.37847222222222221</v>
      </c>
      <c r="F200" s="1" t="s">
        <v>444</v>
      </c>
      <c r="G200" s="1" t="s">
        <v>28</v>
      </c>
      <c r="H200" s="1" t="s">
        <v>29</v>
      </c>
      <c r="I200" s="1" t="s">
        <v>17</v>
      </c>
      <c r="J200" s="1" t="s">
        <v>18</v>
      </c>
      <c r="K200" s="1">
        <v>5</v>
      </c>
      <c r="L200" s="1">
        <v>110</v>
      </c>
      <c r="M200" s="1">
        <v>550</v>
      </c>
      <c r="N200" s="1">
        <v>10</v>
      </c>
      <c r="O200" s="1">
        <v>540</v>
      </c>
      <c r="P200" s="1" t="s">
        <v>1049</v>
      </c>
      <c r="Q200" s="1">
        <v>45</v>
      </c>
      <c r="R200" s="1" t="s">
        <v>20</v>
      </c>
      <c r="S200" s="1">
        <v>3</v>
      </c>
    </row>
    <row r="201" spans="1:19" x14ac:dyDescent="0.3">
      <c r="A201" s="1" t="s">
        <v>445</v>
      </c>
      <c r="B201" s="2">
        <v>45663</v>
      </c>
      <c r="C201" s="1" t="str">
        <f t="shared" si="6"/>
        <v>Mon</v>
      </c>
      <c r="D201" s="1" t="str">
        <f t="shared" si="7"/>
        <v>Weekday</v>
      </c>
      <c r="E201" s="3">
        <v>0.76041666666666663</v>
      </c>
      <c r="F201" s="1" t="s">
        <v>446</v>
      </c>
      <c r="G201" s="1" t="s">
        <v>84</v>
      </c>
      <c r="H201" s="1" t="s">
        <v>29</v>
      </c>
      <c r="I201" s="1" t="s">
        <v>30</v>
      </c>
      <c r="J201" s="1" t="s">
        <v>18</v>
      </c>
      <c r="K201" s="1">
        <v>4</v>
      </c>
      <c r="L201" s="1">
        <v>39</v>
      </c>
      <c r="M201" s="1">
        <v>156</v>
      </c>
      <c r="N201" s="1">
        <v>5</v>
      </c>
      <c r="O201" s="1">
        <v>151</v>
      </c>
      <c r="P201" s="1" t="s">
        <v>1049</v>
      </c>
      <c r="Q201" s="1">
        <v>17</v>
      </c>
      <c r="R201" s="1" t="s">
        <v>31</v>
      </c>
      <c r="S201" s="1">
        <v>2</v>
      </c>
    </row>
    <row r="202" spans="1:19" x14ac:dyDescent="0.3">
      <c r="A202" s="1" t="s">
        <v>447</v>
      </c>
      <c r="B202" s="2">
        <v>45778</v>
      </c>
      <c r="C202" s="1" t="str">
        <f t="shared" si="6"/>
        <v>Thu</v>
      </c>
      <c r="D202" s="1" t="str">
        <f t="shared" si="7"/>
        <v>Weekday</v>
      </c>
      <c r="E202" s="3">
        <v>0.37847222222222221</v>
      </c>
      <c r="F202" s="1" t="s">
        <v>448</v>
      </c>
      <c r="G202" s="1" t="s">
        <v>48</v>
      </c>
      <c r="H202" s="1" t="s">
        <v>16</v>
      </c>
      <c r="I202" s="1" t="s">
        <v>87</v>
      </c>
      <c r="J202" s="1" t="s">
        <v>88</v>
      </c>
      <c r="K202" s="1">
        <v>2</v>
      </c>
      <c r="L202" s="1">
        <v>32</v>
      </c>
      <c r="M202" s="1">
        <v>64</v>
      </c>
      <c r="N202" s="1">
        <v>10</v>
      </c>
      <c r="O202" s="1">
        <v>54</v>
      </c>
      <c r="P202" s="1" t="s">
        <v>1048</v>
      </c>
      <c r="Q202" s="1">
        <v>57</v>
      </c>
      <c r="R202" s="1" t="s">
        <v>31</v>
      </c>
      <c r="S202" s="1">
        <v>3</v>
      </c>
    </row>
    <row r="203" spans="1:19" x14ac:dyDescent="0.3">
      <c r="A203" s="1" t="s">
        <v>449</v>
      </c>
      <c r="B203" s="2">
        <v>45659</v>
      </c>
      <c r="C203" s="1" t="str">
        <f t="shared" si="6"/>
        <v>Thu</v>
      </c>
      <c r="D203" s="1" t="str">
        <f t="shared" si="7"/>
        <v>Weekday</v>
      </c>
      <c r="E203" s="3">
        <v>0.76041666666666663</v>
      </c>
      <c r="F203" s="1" t="s">
        <v>450</v>
      </c>
      <c r="G203" s="1" t="s">
        <v>45</v>
      </c>
      <c r="H203" s="1" t="s">
        <v>29</v>
      </c>
      <c r="I203" s="1" t="s">
        <v>51</v>
      </c>
      <c r="J203" s="1" t="s">
        <v>18</v>
      </c>
      <c r="K203" s="1">
        <v>1</v>
      </c>
      <c r="L203" s="1">
        <v>13</v>
      </c>
      <c r="M203" s="1">
        <v>13</v>
      </c>
      <c r="N203" s="1">
        <v>0</v>
      </c>
      <c r="O203" s="1">
        <v>13</v>
      </c>
      <c r="P203" s="1" t="s">
        <v>19</v>
      </c>
      <c r="Q203" s="1">
        <v>30</v>
      </c>
      <c r="R203" s="1" t="s">
        <v>31</v>
      </c>
      <c r="S203" s="1">
        <v>3</v>
      </c>
    </row>
    <row r="204" spans="1:19" x14ac:dyDescent="0.3">
      <c r="A204" s="1" t="s">
        <v>451</v>
      </c>
      <c r="B204" s="2">
        <v>45778</v>
      </c>
      <c r="C204" s="1" t="str">
        <f t="shared" si="6"/>
        <v>Thu</v>
      </c>
      <c r="D204" s="1" t="str">
        <f t="shared" si="7"/>
        <v>Weekday</v>
      </c>
      <c r="E204" s="3">
        <v>0.76041666666666663</v>
      </c>
      <c r="F204" s="1" t="s">
        <v>452</v>
      </c>
      <c r="G204" s="1" t="s">
        <v>28</v>
      </c>
      <c r="H204" s="1" t="s">
        <v>55</v>
      </c>
      <c r="I204" s="1" t="s">
        <v>51</v>
      </c>
      <c r="J204" s="1" t="s">
        <v>18</v>
      </c>
      <c r="K204" s="1">
        <v>3</v>
      </c>
      <c r="L204" s="1">
        <v>13</v>
      </c>
      <c r="M204" s="1">
        <v>39</v>
      </c>
      <c r="N204" s="1">
        <v>0</v>
      </c>
      <c r="O204" s="1">
        <v>39</v>
      </c>
      <c r="P204" s="1" t="s">
        <v>38</v>
      </c>
      <c r="Q204" s="1">
        <v>15</v>
      </c>
      <c r="R204" s="1" t="s">
        <v>20</v>
      </c>
      <c r="S204" s="1">
        <v>1</v>
      </c>
    </row>
    <row r="205" spans="1:19" x14ac:dyDescent="0.3">
      <c r="A205" s="1" t="s">
        <v>453</v>
      </c>
      <c r="B205" s="2">
        <v>45901</v>
      </c>
      <c r="C205" s="1" t="str">
        <f t="shared" si="6"/>
        <v>Mon</v>
      </c>
      <c r="D205" s="1" t="str">
        <f t="shared" si="7"/>
        <v>Weekday</v>
      </c>
      <c r="E205" s="3">
        <v>0.37847222222222221</v>
      </c>
      <c r="F205" s="1" t="s">
        <v>454</v>
      </c>
      <c r="G205" s="1" t="s">
        <v>28</v>
      </c>
      <c r="H205" s="1" t="s">
        <v>16</v>
      </c>
      <c r="I205" s="1" t="s">
        <v>99</v>
      </c>
      <c r="J205" s="1" t="s">
        <v>100</v>
      </c>
      <c r="K205" s="1">
        <v>4</v>
      </c>
      <c r="L205" s="1">
        <v>65</v>
      </c>
      <c r="M205" s="1">
        <v>260</v>
      </c>
      <c r="N205" s="1">
        <v>10</v>
      </c>
      <c r="O205" s="1">
        <v>250</v>
      </c>
      <c r="P205" s="1" t="s">
        <v>38</v>
      </c>
      <c r="Q205" s="1">
        <v>39</v>
      </c>
      <c r="R205" s="1" t="s">
        <v>31</v>
      </c>
      <c r="S205" s="1"/>
    </row>
    <row r="206" spans="1:19" x14ac:dyDescent="0.3">
      <c r="A206" s="1" t="s">
        <v>455</v>
      </c>
      <c r="B206" s="2">
        <v>45931</v>
      </c>
      <c r="C206" s="1" t="str">
        <f t="shared" si="6"/>
        <v>Wed</v>
      </c>
      <c r="D206" s="1" t="str">
        <f t="shared" si="7"/>
        <v>Weekday</v>
      </c>
      <c r="E206" s="3">
        <v>0.4375</v>
      </c>
      <c r="F206" s="1" t="s">
        <v>456</v>
      </c>
      <c r="G206" s="1" t="s">
        <v>84</v>
      </c>
      <c r="H206" s="1" t="s">
        <v>23</v>
      </c>
      <c r="I206" s="1" t="s">
        <v>36</v>
      </c>
      <c r="J206" s="1" t="s">
        <v>37</v>
      </c>
      <c r="K206" s="1">
        <v>5</v>
      </c>
      <c r="L206" s="1">
        <v>36</v>
      </c>
      <c r="M206" s="1">
        <v>180</v>
      </c>
      <c r="N206" s="1">
        <v>0</v>
      </c>
      <c r="O206" s="1">
        <v>180</v>
      </c>
      <c r="P206" s="1" t="s">
        <v>38</v>
      </c>
      <c r="Q206" s="1">
        <v>59</v>
      </c>
      <c r="R206" s="1" t="s">
        <v>20</v>
      </c>
      <c r="S206" s="1">
        <v>3</v>
      </c>
    </row>
    <row r="207" spans="1:19" x14ac:dyDescent="0.3">
      <c r="A207" s="1" t="s">
        <v>457</v>
      </c>
      <c r="B207" s="2">
        <v>45839</v>
      </c>
      <c r="C207" s="1" t="str">
        <f t="shared" si="6"/>
        <v>Tue</v>
      </c>
      <c r="D207" s="1" t="str">
        <f t="shared" si="7"/>
        <v>Weekday</v>
      </c>
      <c r="E207" s="3">
        <v>0.37847222222222221</v>
      </c>
      <c r="F207" s="1" t="s">
        <v>458</v>
      </c>
      <c r="G207" s="1" t="s">
        <v>28</v>
      </c>
      <c r="H207" s="1" t="s">
        <v>16</v>
      </c>
      <c r="I207" s="1" t="s">
        <v>74</v>
      </c>
      <c r="J207" s="1" t="s">
        <v>75</v>
      </c>
      <c r="K207" s="1">
        <v>6</v>
      </c>
      <c r="L207" s="1">
        <v>39</v>
      </c>
      <c r="M207" s="1">
        <v>234</v>
      </c>
      <c r="N207" s="1">
        <v>10</v>
      </c>
      <c r="O207" s="1">
        <v>224</v>
      </c>
      <c r="P207" s="1" t="s">
        <v>38</v>
      </c>
      <c r="Q207" s="1">
        <v>15</v>
      </c>
      <c r="R207" s="1" t="s">
        <v>31</v>
      </c>
      <c r="S207" s="1">
        <v>1</v>
      </c>
    </row>
    <row r="208" spans="1:19" x14ac:dyDescent="0.3">
      <c r="A208" s="1" t="s">
        <v>459</v>
      </c>
      <c r="B208" s="2">
        <v>45839</v>
      </c>
      <c r="C208" s="1" t="str">
        <f t="shared" si="6"/>
        <v>Tue</v>
      </c>
      <c r="D208" s="1" t="str">
        <f t="shared" si="7"/>
        <v>Weekday</v>
      </c>
      <c r="E208" s="3">
        <v>0.78125</v>
      </c>
      <c r="F208" s="1" t="s">
        <v>460</v>
      </c>
      <c r="G208" s="1" t="s">
        <v>28</v>
      </c>
      <c r="H208" s="1" t="s">
        <v>64</v>
      </c>
      <c r="I208" s="1" t="s">
        <v>42</v>
      </c>
      <c r="J208" s="1" t="s">
        <v>25</v>
      </c>
      <c r="K208" s="1">
        <v>3</v>
      </c>
      <c r="L208" s="1">
        <v>89</v>
      </c>
      <c r="M208" s="1">
        <v>267</v>
      </c>
      <c r="N208" s="1">
        <v>0</v>
      </c>
      <c r="O208" s="1">
        <v>267</v>
      </c>
      <c r="P208" s="1" t="s">
        <v>1048</v>
      </c>
      <c r="Q208" s="1">
        <v>33</v>
      </c>
      <c r="R208" s="1" t="s">
        <v>31</v>
      </c>
      <c r="S208" s="1"/>
    </row>
    <row r="209" spans="1:19" x14ac:dyDescent="0.3">
      <c r="A209" s="1" t="s">
        <v>461</v>
      </c>
      <c r="B209" s="2">
        <v>45870</v>
      </c>
      <c r="C209" s="1" t="str">
        <f t="shared" si="6"/>
        <v>Fri</v>
      </c>
      <c r="D209" s="1" t="str">
        <f t="shared" si="7"/>
        <v>Weekday</v>
      </c>
      <c r="E209" s="3">
        <v>0.78125</v>
      </c>
      <c r="F209" s="1" t="s">
        <v>462</v>
      </c>
      <c r="G209" s="1" t="s">
        <v>28</v>
      </c>
      <c r="H209" s="1" t="s">
        <v>23</v>
      </c>
      <c r="I209" s="1" t="s">
        <v>30</v>
      </c>
      <c r="J209" s="1" t="s">
        <v>18</v>
      </c>
      <c r="K209" s="1">
        <v>6</v>
      </c>
      <c r="L209" s="1">
        <v>57</v>
      </c>
      <c r="M209" s="1">
        <v>342</v>
      </c>
      <c r="N209" s="1">
        <v>0</v>
      </c>
      <c r="O209" s="1">
        <v>342</v>
      </c>
      <c r="P209" s="1" t="s">
        <v>1048</v>
      </c>
      <c r="Q209" s="1">
        <v>15</v>
      </c>
      <c r="R209" s="1" t="s">
        <v>31</v>
      </c>
      <c r="S209" s="1">
        <v>3</v>
      </c>
    </row>
    <row r="210" spans="1:19" x14ac:dyDescent="0.3">
      <c r="A210" s="1" t="s">
        <v>463</v>
      </c>
      <c r="B210" s="2">
        <v>45809</v>
      </c>
      <c r="C210" s="1" t="str">
        <f t="shared" si="6"/>
        <v>Sun</v>
      </c>
      <c r="D210" s="1" t="str">
        <f t="shared" si="7"/>
        <v>Weekend</v>
      </c>
      <c r="E210" s="3">
        <v>0.4375</v>
      </c>
      <c r="F210" s="1" t="s">
        <v>464</v>
      </c>
      <c r="G210" s="1" t="s">
        <v>34</v>
      </c>
      <c r="H210" s="1" t="s">
        <v>41</v>
      </c>
      <c r="I210" s="1" t="s">
        <v>17</v>
      </c>
      <c r="J210" s="1" t="s">
        <v>18</v>
      </c>
      <c r="K210" s="1">
        <v>4</v>
      </c>
      <c r="L210" s="1">
        <v>54</v>
      </c>
      <c r="M210" s="1">
        <v>216</v>
      </c>
      <c r="N210" s="1">
        <v>0</v>
      </c>
      <c r="O210" s="1">
        <v>216</v>
      </c>
      <c r="P210" s="1" t="s">
        <v>1048</v>
      </c>
      <c r="Q210" s="1">
        <v>16</v>
      </c>
      <c r="R210" s="1" t="s">
        <v>31</v>
      </c>
      <c r="S210" s="1">
        <v>2</v>
      </c>
    </row>
    <row r="211" spans="1:19" x14ac:dyDescent="0.3">
      <c r="A211" s="1" t="s">
        <v>465</v>
      </c>
      <c r="B211" s="2">
        <v>45809</v>
      </c>
      <c r="C211" s="1" t="str">
        <f t="shared" si="6"/>
        <v>Sun</v>
      </c>
      <c r="D211" s="1" t="str">
        <f t="shared" si="7"/>
        <v>Weekend</v>
      </c>
      <c r="E211" s="3">
        <v>0.78125</v>
      </c>
      <c r="F211" s="1" t="s">
        <v>466</v>
      </c>
      <c r="G211" s="1" t="s">
        <v>34</v>
      </c>
      <c r="H211" s="1" t="s">
        <v>35</v>
      </c>
      <c r="I211" s="1" t="s">
        <v>99</v>
      </c>
      <c r="J211" s="1" t="s">
        <v>100</v>
      </c>
      <c r="K211" s="1">
        <v>5</v>
      </c>
      <c r="L211" s="1">
        <v>55</v>
      </c>
      <c r="M211" s="1">
        <v>275</v>
      </c>
      <c r="N211" s="1">
        <v>0</v>
      </c>
      <c r="O211" s="1">
        <v>275</v>
      </c>
      <c r="P211" s="1" t="s">
        <v>1048</v>
      </c>
      <c r="Q211" s="1">
        <v>13</v>
      </c>
      <c r="R211" s="1" t="s">
        <v>31</v>
      </c>
      <c r="S211" s="1">
        <v>2</v>
      </c>
    </row>
    <row r="212" spans="1:19" x14ac:dyDescent="0.3">
      <c r="A212" s="1" t="s">
        <v>467</v>
      </c>
      <c r="B212" s="2">
        <v>45809</v>
      </c>
      <c r="C212" s="1" t="str">
        <f t="shared" si="6"/>
        <v>Sun</v>
      </c>
      <c r="D212" s="1" t="str">
        <f t="shared" si="7"/>
        <v>Weekend</v>
      </c>
      <c r="E212" s="3">
        <v>0.37847222222222221</v>
      </c>
      <c r="F212" s="1" t="s">
        <v>468</v>
      </c>
      <c r="G212" s="1" t="s">
        <v>54</v>
      </c>
      <c r="H212" s="1" t="s">
        <v>23</v>
      </c>
      <c r="I212" s="1" t="s">
        <v>30</v>
      </c>
      <c r="J212" s="1" t="s">
        <v>18</v>
      </c>
      <c r="K212" s="1">
        <v>5</v>
      </c>
      <c r="L212" s="1">
        <v>10</v>
      </c>
      <c r="M212" s="1">
        <v>50</v>
      </c>
      <c r="N212" s="1">
        <v>0</v>
      </c>
      <c r="O212" s="1">
        <v>50</v>
      </c>
      <c r="P212" s="1" t="s">
        <v>1049</v>
      </c>
      <c r="Q212" s="1">
        <v>40</v>
      </c>
      <c r="R212" s="1" t="s">
        <v>20</v>
      </c>
      <c r="S212" s="1"/>
    </row>
    <row r="213" spans="1:19" x14ac:dyDescent="0.3">
      <c r="A213" s="1" t="s">
        <v>469</v>
      </c>
      <c r="B213" s="2">
        <v>45931</v>
      </c>
      <c r="C213" s="1" t="str">
        <f t="shared" si="6"/>
        <v>Wed</v>
      </c>
      <c r="D213" s="1" t="str">
        <f t="shared" si="7"/>
        <v>Weekday</v>
      </c>
      <c r="E213" s="3">
        <v>0.78125</v>
      </c>
      <c r="F213" s="1" t="s">
        <v>470</v>
      </c>
      <c r="G213" s="1" t="s">
        <v>54</v>
      </c>
      <c r="H213" s="1" t="s">
        <v>16</v>
      </c>
      <c r="I213" s="1" t="s">
        <v>30</v>
      </c>
      <c r="J213" s="1" t="s">
        <v>18</v>
      </c>
      <c r="K213" s="1">
        <v>4</v>
      </c>
      <c r="L213" s="1">
        <v>74</v>
      </c>
      <c r="M213" s="1">
        <v>296</v>
      </c>
      <c r="N213" s="1">
        <v>10</v>
      </c>
      <c r="O213" s="1">
        <v>286</v>
      </c>
      <c r="P213" s="1" t="s">
        <v>1048</v>
      </c>
      <c r="Q213" s="1">
        <v>30</v>
      </c>
      <c r="R213" s="1" t="s">
        <v>31</v>
      </c>
      <c r="S213" s="1">
        <v>4</v>
      </c>
    </row>
    <row r="214" spans="1:19" x14ac:dyDescent="0.3">
      <c r="A214" s="1" t="s">
        <v>471</v>
      </c>
      <c r="B214" s="2">
        <v>45839</v>
      </c>
      <c r="C214" s="1" t="str">
        <f t="shared" si="6"/>
        <v>Tue</v>
      </c>
      <c r="D214" s="1" t="str">
        <f t="shared" si="7"/>
        <v>Weekday</v>
      </c>
      <c r="E214" s="3">
        <v>0.37847222222222221</v>
      </c>
      <c r="F214" s="1" t="s">
        <v>472</v>
      </c>
      <c r="G214" s="1" t="s">
        <v>28</v>
      </c>
      <c r="H214" s="1" t="s">
        <v>16</v>
      </c>
      <c r="I214" s="1" t="s">
        <v>51</v>
      </c>
      <c r="J214" s="1" t="s">
        <v>18</v>
      </c>
      <c r="K214" s="1">
        <v>5</v>
      </c>
      <c r="L214" s="1">
        <v>60</v>
      </c>
      <c r="M214" s="1">
        <v>300</v>
      </c>
      <c r="N214" s="1">
        <v>0</v>
      </c>
      <c r="O214" s="1">
        <v>300</v>
      </c>
      <c r="P214" s="1" t="s">
        <v>1049</v>
      </c>
      <c r="Q214" s="1">
        <v>47</v>
      </c>
      <c r="R214" s="1" t="s">
        <v>20</v>
      </c>
      <c r="S214" s="1">
        <v>3</v>
      </c>
    </row>
    <row r="215" spans="1:19" x14ac:dyDescent="0.3">
      <c r="A215" s="1" t="s">
        <v>473</v>
      </c>
      <c r="B215" s="2">
        <v>45689</v>
      </c>
      <c r="C215" s="1" t="str">
        <f t="shared" si="6"/>
        <v>Sat</v>
      </c>
      <c r="D215" s="1" t="str">
        <f t="shared" si="7"/>
        <v>Weekend</v>
      </c>
      <c r="E215" s="3">
        <v>0.4375</v>
      </c>
      <c r="F215" s="1" t="s">
        <v>474</v>
      </c>
      <c r="G215" s="1" t="s">
        <v>28</v>
      </c>
      <c r="H215" s="1" t="s">
        <v>73</v>
      </c>
      <c r="I215" s="1" t="s">
        <v>42</v>
      </c>
      <c r="J215" s="1" t="s">
        <v>25</v>
      </c>
      <c r="K215" s="1">
        <v>4</v>
      </c>
      <c r="L215" s="1">
        <v>38</v>
      </c>
      <c r="M215" s="1">
        <v>152</v>
      </c>
      <c r="N215" s="1">
        <v>10</v>
      </c>
      <c r="O215" s="1">
        <v>142</v>
      </c>
      <c r="P215" s="1" t="s">
        <v>1048</v>
      </c>
      <c r="Q215" s="1">
        <v>41</v>
      </c>
      <c r="R215" s="1" t="s">
        <v>31</v>
      </c>
      <c r="S215" s="1">
        <v>5</v>
      </c>
    </row>
    <row r="216" spans="1:19" x14ac:dyDescent="0.3">
      <c r="A216" s="1" t="s">
        <v>475</v>
      </c>
      <c r="B216" s="2">
        <v>45666</v>
      </c>
      <c r="C216" s="1" t="str">
        <f t="shared" si="6"/>
        <v>Thu</v>
      </c>
      <c r="D216" s="1" t="str">
        <f t="shared" si="7"/>
        <v>Weekday</v>
      </c>
      <c r="E216" s="3">
        <v>0.78125</v>
      </c>
      <c r="F216" s="1" t="s">
        <v>476</v>
      </c>
      <c r="G216" s="1" t="s">
        <v>28</v>
      </c>
      <c r="H216" s="1" t="s">
        <v>35</v>
      </c>
      <c r="I216" s="1" t="s">
        <v>42</v>
      </c>
      <c r="J216" s="1" t="s">
        <v>25</v>
      </c>
      <c r="K216" s="1">
        <v>6</v>
      </c>
      <c r="L216" s="1">
        <v>78</v>
      </c>
      <c r="M216" s="1">
        <v>468</v>
      </c>
      <c r="N216" s="1">
        <v>5</v>
      </c>
      <c r="O216" s="1">
        <v>463</v>
      </c>
      <c r="P216" s="1" t="s">
        <v>19</v>
      </c>
      <c r="Q216" s="1">
        <v>53</v>
      </c>
      <c r="R216" s="1" t="s">
        <v>31</v>
      </c>
      <c r="S216" s="1"/>
    </row>
    <row r="217" spans="1:19" x14ac:dyDescent="0.3">
      <c r="A217" s="1" t="s">
        <v>477</v>
      </c>
      <c r="B217" s="2">
        <v>45664</v>
      </c>
      <c r="C217" s="1" t="str">
        <f t="shared" si="6"/>
        <v>Tue</v>
      </c>
      <c r="D217" s="1" t="str">
        <f t="shared" si="7"/>
        <v>Weekday</v>
      </c>
      <c r="E217" s="3">
        <v>0.76041666666666663</v>
      </c>
      <c r="F217" s="1" t="s">
        <v>478</v>
      </c>
      <c r="G217" s="1" t="s">
        <v>34</v>
      </c>
      <c r="H217" s="1" t="s">
        <v>41</v>
      </c>
      <c r="I217" s="1" t="s">
        <v>24</v>
      </c>
      <c r="J217" s="1" t="s">
        <v>25</v>
      </c>
      <c r="K217" s="1">
        <v>5</v>
      </c>
      <c r="L217" s="1">
        <v>42</v>
      </c>
      <c r="M217" s="1">
        <v>210</v>
      </c>
      <c r="N217" s="1">
        <v>5</v>
      </c>
      <c r="O217" s="1">
        <v>205</v>
      </c>
      <c r="P217" s="1" t="s">
        <v>38</v>
      </c>
      <c r="Q217" s="1">
        <v>55</v>
      </c>
      <c r="R217" s="1" t="s">
        <v>31</v>
      </c>
      <c r="S217" s="1">
        <v>5</v>
      </c>
    </row>
    <row r="218" spans="1:19" x14ac:dyDescent="0.3">
      <c r="A218" s="1" t="s">
        <v>479</v>
      </c>
      <c r="B218" s="2">
        <v>45962</v>
      </c>
      <c r="C218" s="1" t="str">
        <f t="shared" si="6"/>
        <v>Sat</v>
      </c>
      <c r="D218" s="1" t="str">
        <f t="shared" si="7"/>
        <v>Weekend</v>
      </c>
      <c r="E218" s="3">
        <v>0.76041666666666663</v>
      </c>
      <c r="F218" s="1" t="s">
        <v>480</v>
      </c>
      <c r="G218" s="1" t="s">
        <v>28</v>
      </c>
      <c r="H218" s="1" t="s">
        <v>73</v>
      </c>
      <c r="I218" s="1" t="s">
        <v>99</v>
      </c>
      <c r="J218" s="1" t="s">
        <v>100</v>
      </c>
      <c r="K218" s="1">
        <v>2</v>
      </c>
      <c r="L218" s="1">
        <v>117</v>
      </c>
      <c r="M218" s="1">
        <v>234</v>
      </c>
      <c r="N218" s="1">
        <v>10</v>
      </c>
      <c r="O218" s="1">
        <v>224</v>
      </c>
      <c r="P218" s="1" t="s">
        <v>1049</v>
      </c>
      <c r="Q218" s="1">
        <v>56</v>
      </c>
      <c r="R218" s="1" t="s">
        <v>31</v>
      </c>
      <c r="S218" s="1">
        <v>1</v>
      </c>
    </row>
    <row r="219" spans="1:19" x14ac:dyDescent="0.3">
      <c r="A219" s="1" t="s">
        <v>481</v>
      </c>
      <c r="B219" s="2">
        <v>45717</v>
      </c>
      <c r="C219" s="1" t="str">
        <f t="shared" si="6"/>
        <v>Sat</v>
      </c>
      <c r="D219" s="1" t="str">
        <f t="shared" si="7"/>
        <v>Weekend</v>
      </c>
      <c r="E219" s="3">
        <v>0.78125</v>
      </c>
      <c r="F219" s="1" t="s">
        <v>482</v>
      </c>
      <c r="G219" s="1" t="s">
        <v>1047</v>
      </c>
      <c r="H219" s="1" t="s">
        <v>23</v>
      </c>
      <c r="I219" s="1" t="s">
        <v>30</v>
      </c>
      <c r="J219" s="1" t="s">
        <v>18</v>
      </c>
      <c r="K219" s="1">
        <v>4</v>
      </c>
      <c r="L219" s="1">
        <v>17</v>
      </c>
      <c r="M219" s="1">
        <v>68</v>
      </c>
      <c r="N219" s="1">
        <v>5</v>
      </c>
      <c r="O219" s="1">
        <v>63</v>
      </c>
      <c r="P219" s="1" t="s">
        <v>1048</v>
      </c>
      <c r="Q219" s="1">
        <v>46</v>
      </c>
      <c r="R219" s="1" t="s">
        <v>20</v>
      </c>
      <c r="S219" s="1">
        <v>4</v>
      </c>
    </row>
    <row r="220" spans="1:19" x14ac:dyDescent="0.3">
      <c r="A220" s="1" t="s">
        <v>483</v>
      </c>
      <c r="B220" s="2">
        <v>45839</v>
      </c>
      <c r="C220" s="1" t="str">
        <f t="shared" si="6"/>
        <v>Tue</v>
      </c>
      <c r="D220" s="1" t="str">
        <f t="shared" si="7"/>
        <v>Weekday</v>
      </c>
      <c r="E220" s="3">
        <v>0.76041666666666663</v>
      </c>
      <c r="F220" s="1" t="s">
        <v>484</v>
      </c>
      <c r="G220" s="1" t="s">
        <v>34</v>
      </c>
      <c r="H220" s="1" t="s">
        <v>41</v>
      </c>
      <c r="I220" s="1" t="s">
        <v>36</v>
      </c>
      <c r="J220" s="1" t="s">
        <v>37</v>
      </c>
      <c r="K220" s="1">
        <v>1</v>
      </c>
      <c r="L220" s="1">
        <v>68</v>
      </c>
      <c r="M220" s="1">
        <v>68</v>
      </c>
      <c r="N220" s="1">
        <v>5</v>
      </c>
      <c r="O220" s="1">
        <v>63</v>
      </c>
      <c r="P220" s="1" t="s">
        <v>1048</v>
      </c>
      <c r="Q220" s="1">
        <v>39</v>
      </c>
      <c r="R220" s="1" t="s">
        <v>20</v>
      </c>
      <c r="S220" s="1">
        <v>3</v>
      </c>
    </row>
    <row r="221" spans="1:19" x14ac:dyDescent="0.3">
      <c r="A221" s="1" t="s">
        <v>485</v>
      </c>
      <c r="B221" s="2">
        <v>45870</v>
      </c>
      <c r="C221" s="1" t="str">
        <f t="shared" si="6"/>
        <v>Fri</v>
      </c>
      <c r="D221" s="1" t="str">
        <f t="shared" si="7"/>
        <v>Weekday</v>
      </c>
      <c r="E221" s="3">
        <v>0.37847222222222221</v>
      </c>
      <c r="F221" s="1" t="s">
        <v>486</v>
      </c>
      <c r="G221" s="1" t="s">
        <v>28</v>
      </c>
      <c r="H221" s="1" t="s">
        <v>41</v>
      </c>
      <c r="I221" s="1" t="s">
        <v>99</v>
      </c>
      <c r="J221" s="1" t="s">
        <v>100</v>
      </c>
      <c r="K221" s="1">
        <v>2</v>
      </c>
      <c r="L221" s="1">
        <v>94</v>
      </c>
      <c r="M221" s="1">
        <v>188</v>
      </c>
      <c r="N221" s="1">
        <v>0</v>
      </c>
      <c r="O221" s="1">
        <v>188</v>
      </c>
      <c r="P221" s="1" t="s">
        <v>1048</v>
      </c>
      <c r="Q221" s="1">
        <v>53</v>
      </c>
      <c r="R221" s="1" t="s">
        <v>31</v>
      </c>
      <c r="S221" s="1">
        <v>5</v>
      </c>
    </row>
    <row r="222" spans="1:19" x14ac:dyDescent="0.3">
      <c r="A222" s="1" t="s">
        <v>487</v>
      </c>
      <c r="B222" s="2">
        <v>45658</v>
      </c>
      <c r="C222" s="1" t="str">
        <f t="shared" si="6"/>
        <v>Wed</v>
      </c>
      <c r="D222" s="1" t="str">
        <f t="shared" si="7"/>
        <v>Weekday</v>
      </c>
      <c r="E222" s="3">
        <v>0.78125</v>
      </c>
      <c r="F222" s="1" t="s">
        <v>488</v>
      </c>
      <c r="G222" s="1" t="s">
        <v>1047</v>
      </c>
      <c r="H222" s="1" t="s">
        <v>29</v>
      </c>
      <c r="I222" s="1" t="s">
        <v>17</v>
      </c>
      <c r="J222" s="1" t="s">
        <v>18</v>
      </c>
      <c r="K222" s="1">
        <v>6</v>
      </c>
      <c r="L222" s="1">
        <v>67</v>
      </c>
      <c r="M222" s="1">
        <v>402</v>
      </c>
      <c r="N222" s="1">
        <v>0</v>
      </c>
      <c r="O222" s="1">
        <v>402</v>
      </c>
      <c r="P222" s="1" t="s">
        <v>1048</v>
      </c>
      <c r="Q222" s="1">
        <v>14</v>
      </c>
      <c r="R222" s="1" t="s">
        <v>20</v>
      </c>
      <c r="S222" s="1"/>
    </row>
    <row r="223" spans="1:19" x14ac:dyDescent="0.3">
      <c r="A223" s="1" t="s">
        <v>489</v>
      </c>
      <c r="B223" s="2">
        <v>45666</v>
      </c>
      <c r="C223" s="1" t="str">
        <f t="shared" si="6"/>
        <v>Thu</v>
      </c>
      <c r="D223" s="1" t="str">
        <f t="shared" si="7"/>
        <v>Weekday</v>
      </c>
      <c r="E223" s="3">
        <v>0.76041666666666663</v>
      </c>
      <c r="F223" s="1" t="s">
        <v>490</v>
      </c>
      <c r="G223" s="1" t="s">
        <v>1047</v>
      </c>
      <c r="H223" s="1" t="s">
        <v>41</v>
      </c>
      <c r="I223" s="1" t="s">
        <v>99</v>
      </c>
      <c r="J223" s="1" t="s">
        <v>100</v>
      </c>
      <c r="K223" s="1">
        <v>3</v>
      </c>
      <c r="L223" s="1">
        <v>84</v>
      </c>
      <c r="M223" s="1">
        <v>252</v>
      </c>
      <c r="N223" s="1">
        <v>0</v>
      </c>
      <c r="O223" s="1">
        <v>252</v>
      </c>
      <c r="P223" s="1" t="s">
        <v>1049</v>
      </c>
      <c r="Q223" s="1">
        <v>49</v>
      </c>
      <c r="R223" s="1" t="s">
        <v>31</v>
      </c>
      <c r="S223" s="1">
        <v>4</v>
      </c>
    </row>
    <row r="224" spans="1:19" x14ac:dyDescent="0.3">
      <c r="A224" s="1" t="s">
        <v>491</v>
      </c>
      <c r="B224" s="2">
        <v>45901</v>
      </c>
      <c r="C224" s="1" t="str">
        <f t="shared" si="6"/>
        <v>Mon</v>
      </c>
      <c r="D224" s="1" t="str">
        <f t="shared" si="7"/>
        <v>Weekday</v>
      </c>
      <c r="E224" s="3">
        <v>0.78125</v>
      </c>
      <c r="F224" s="1" t="s">
        <v>492</v>
      </c>
      <c r="G224" s="1" t="s">
        <v>48</v>
      </c>
      <c r="H224" s="1" t="s">
        <v>23</v>
      </c>
      <c r="I224" s="1" t="s">
        <v>17</v>
      </c>
      <c r="J224" s="1" t="s">
        <v>18</v>
      </c>
      <c r="K224" s="1">
        <v>5</v>
      </c>
      <c r="L224" s="1">
        <v>113</v>
      </c>
      <c r="M224" s="1">
        <v>565</v>
      </c>
      <c r="N224" s="1">
        <v>0</v>
      </c>
      <c r="O224" s="1">
        <v>565</v>
      </c>
      <c r="P224" s="1" t="s">
        <v>1049</v>
      </c>
      <c r="Q224" s="1">
        <v>45</v>
      </c>
      <c r="R224" s="1" t="s">
        <v>20</v>
      </c>
      <c r="S224" s="1">
        <v>5</v>
      </c>
    </row>
    <row r="225" spans="1:19" x14ac:dyDescent="0.3">
      <c r="A225" s="1" t="s">
        <v>493</v>
      </c>
      <c r="B225" s="2">
        <v>45931</v>
      </c>
      <c r="C225" s="1" t="str">
        <f t="shared" si="6"/>
        <v>Wed</v>
      </c>
      <c r="D225" s="1" t="str">
        <f t="shared" si="7"/>
        <v>Weekday</v>
      </c>
      <c r="E225" s="3">
        <v>0.4375</v>
      </c>
      <c r="F225" s="1" t="s">
        <v>494</v>
      </c>
      <c r="G225" s="1" t="s">
        <v>84</v>
      </c>
      <c r="H225" s="1" t="s">
        <v>16</v>
      </c>
      <c r="I225" s="1" t="s">
        <v>24</v>
      </c>
      <c r="J225" s="1" t="s">
        <v>25</v>
      </c>
      <c r="K225" s="1">
        <v>4</v>
      </c>
      <c r="L225" s="1">
        <v>111</v>
      </c>
      <c r="M225" s="1">
        <v>444</v>
      </c>
      <c r="N225" s="1">
        <v>5</v>
      </c>
      <c r="O225" s="1">
        <v>439</v>
      </c>
      <c r="P225" s="1" t="s">
        <v>38</v>
      </c>
      <c r="Q225" s="1">
        <v>36</v>
      </c>
      <c r="R225" s="1" t="s">
        <v>20</v>
      </c>
      <c r="S225" s="1">
        <v>5</v>
      </c>
    </row>
    <row r="226" spans="1:19" x14ac:dyDescent="0.3">
      <c r="A226" s="1" t="s">
        <v>495</v>
      </c>
      <c r="B226" s="2">
        <v>45748</v>
      </c>
      <c r="C226" s="1" t="str">
        <f t="shared" si="6"/>
        <v>Tue</v>
      </c>
      <c r="D226" s="1" t="str">
        <f t="shared" si="7"/>
        <v>Weekday</v>
      </c>
      <c r="E226" s="3">
        <v>0.37847222222222221</v>
      </c>
      <c r="F226" s="1" t="s">
        <v>496</v>
      </c>
      <c r="G226" s="1" t="s">
        <v>48</v>
      </c>
      <c r="H226" s="1" t="s">
        <v>55</v>
      </c>
      <c r="I226" s="1" t="s">
        <v>87</v>
      </c>
      <c r="J226" s="1" t="s">
        <v>88</v>
      </c>
      <c r="K226" s="1">
        <v>4</v>
      </c>
      <c r="L226" s="1">
        <v>46</v>
      </c>
      <c r="M226" s="1">
        <v>184</v>
      </c>
      <c r="N226" s="1">
        <v>0</v>
      </c>
      <c r="O226" s="1">
        <v>184</v>
      </c>
      <c r="P226" s="1" t="s">
        <v>38</v>
      </c>
      <c r="Q226" s="1">
        <v>39</v>
      </c>
      <c r="R226" s="1" t="s">
        <v>31</v>
      </c>
      <c r="S226" s="1">
        <v>4</v>
      </c>
    </row>
    <row r="227" spans="1:19" x14ac:dyDescent="0.3">
      <c r="A227" s="1" t="s">
        <v>497</v>
      </c>
      <c r="B227" s="2">
        <v>45839</v>
      </c>
      <c r="C227" s="1" t="str">
        <f t="shared" si="6"/>
        <v>Tue</v>
      </c>
      <c r="D227" s="1" t="str">
        <f t="shared" si="7"/>
        <v>Weekday</v>
      </c>
      <c r="E227" s="3">
        <v>0.76041666666666663</v>
      </c>
      <c r="F227" s="1" t="s">
        <v>498</v>
      </c>
      <c r="G227" s="1" t="s">
        <v>45</v>
      </c>
      <c r="H227" s="1" t="s">
        <v>64</v>
      </c>
      <c r="I227" s="1" t="s">
        <v>74</v>
      </c>
      <c r="J227" s="1" t="s">
        <v>75</v>
      </c>
      <c r="K227" s="1">
        <v>6</v>
      </c>
      <c r="L227" s="1">
        <v>40</v>
      </c>
      <c r="M227" s="1">
        <v>240</v>
      </c>
      <c r="N227" s="1">
        <v>0</v>
      </c>
      <c r="O227" s="1">
        <v>240</v>
      </c>
      <c r="P227" s="1" t="s">
        <v>1048</v>
      </c>
      <c r="Q227" s="1">
        <v>34</v>
      </c>
      <c r="R227" s="1" t="s">
        <v>20</v>
      </c>
      <c r="S227" s="1"/>
    </row>
    <row r="228" spans="1:19" x14ac:dyDescent="0.3">
      <c r="A228" s="1" t="s">
        <v>499</v>
      </c>
      <c r="B228" s="2">
        <v>45658</v>
      </c>
      <c r="C228" s="1" t="str">
        <f t="shared" si="6"/>
        <v>Wed</v>
      </c>
      <c r="D228" s="1" t="str">
        <f t="shared" si="7"/>
        <v>Weekday</v>
      </c>
      <c r="E228" s="3">
        <v>0.76041666666666663</v>
      </c>
      <c r="F228" s="1" t="s">
        <v>500</v>
      </c>
      <c r="G228" s="1" t="s">
        <v>48</v>
      </c>
      <c r="H228" s="1" t="s">
        <v>23</v>
      </c>
      <c r="I228" s="1" t="s">
        <v>36</v>
      </c>
      <c r="J228" s="1" t="s">
        <v>37</v>
      </c>
      <c r="K228" s="1">
        <v>6</v>
      </c>
      <c r="L228" s="1">
        <v>18</v>
      </c>
      <c r="M228" s="1">
        <v>108</v>
      </c>
      <c r="N228" s="1">
        <v>5</v>
      </c>
      <c r="O228" s="1">
        <v>103</v>
      </c>
      <c r="P228" s="1" t="s">
        <v>1049</v>
      </c>
      <c r="Q228" s="1">
        <v>13</v>
      </c>
      <c r="R228" s="1" t="s">
        <v>20</v>
      </c>
      <c r="S228" s="1">
        <v>1</v>
      </c>
    </row>
    <row r="229" spans="1:19" x14ac:dyDescent="0.3">
      <c r="A229" s="1" t="s">
        <v>501</v>
      </c>
      <c r="B229" s="2">
        <v>45870</v>
      </c>
      <c r="C229" s="1" t="str">
        <f t="shared" si="6"/>
        <v>Fri</v>
      </c>
      <c r="D229" s="1" t="str">
        <f t="shared" si="7"/>
        <v>Weekday</v>
      </c>
      <c r="E229" s="3">
        <v>0.76041666666666663</v>
      </c>
      <c r="F229" s="1" t="s">
        <v>502</v>
      </c>
      <c r="G229" s="1" t="s">
        <v>34</v>
      </c>
      <c r="H229" s="1" t="s">
        <v>73</v>
      </c>
      <c r="I229" s="1" t="s">
        <v>36</v>
      </c>
      <c r="J229" s="1" t="s">
        <v>37</v>
      </c>
      <c r="K229" s="1">
        <v>6</v>
      </c>
      <c r="L229" s="1">
        <v>90</v>
      </c>
      <c r="M229" s="1">
        <v>540</v>
      </c>
      <c r="N229" s="1">
        <v>10</v>
      </c>
      <c r="O229" s="1">
        <v>530</v>
      </c>
      <c r="P229" s="1" t="s">
        <v>1049</v>
      </c>
      <c r="Q229" s="1">
        <v>42</v>
      </c>
      <c r="R229" s="1" t="s">
        <v>31</v>
      </c>
      <c r="S229" s="1">
        <v>4</v>
      </c>
    </row>
    <row r="230" spans="1:19" x14ac:dyDescent="0.3">
      <c r="A230" s="1" t="s">
        <v>503</v>
      </c>
      <c r="B230" s="2">
        <v>45962</v>
      </c>
      <c r="C230" s="1" t="str">
        <f t="shared" si="6"/>
        <v>Sat</v>
      </c>
      <c r="D230" s="1" t="str">
        <f t="shared" si="7"/>
        <v>Weekend</v>
      </c>
      <c r="E230" s="3">
        <v>0.78125</v>
      </c>
      <c r="F230" s="1" t="s">
        <v>504</v>
      </c>
      <c r="G230" s="1" t="s">
        <v>1047</v>
      </c>
      <c r="H230" s="1" t="s">
        <v>35</v>
      </c>
      <c r="I230" s="1" t="s">
        <v>87</v>
      </c>
      <c r="J230" s="1" t="s">
        <v>88</v>
      </c>
      <c r="K230" s="1">
        <v>2</v>
      </c>
      <c r="L230" s="1">
        <v>68</v>
      </c>
      <c r="M230" s="1">
        <v>136</v>
      </c>
      <c r="N230" s="1">
        <v>10</v>
      </c>
      <c r="O230" s="1">
        <v>126</v>
      </c>
      <c r="P230" s="1" t="s">
        <v>38</v>
      </c>
      <c r="Q230" s="1">
        <v>44</v>
      </c>
      <c r="R230" s="1" t="s">
        <v>20</v>
      </c>
      <c r="S230" s="1">
        <v>1</v>
      </c>
    </row>
    <row r="231" spans="1:19" x14ac:dyDescent="0.3">
      <c r="A231" s="1" t="s">
        <v>505</v>
      </c>
      <c r="B231" s="2">
        <v>45658</v>
      </c>
      <c r="C231" s="1" t="str">
        <f t="shared" si="6"/>
        <v>Wed</v>
      </c>
      <c r="D231" s="1" t="str">
        <f t="shared" si="7"/>
        <v>Weekday</v>
      </c>
      <c r="E231" s="3">
        <v>0.4375</v>
      </c>
      <c r="F231" s="1" t="s">
        <v>506</v>
      </c>
      <c r="G231" s="1" t="s">
        <v>34</v>
      </c>
      <c r="H231" s="1" t="s">
        <v>23</v>
      </c>
      <c r="I231" s="1" t="s">
        <v>74</v>
      </c>
      <c r="J231" s="1" t="s">
        <v>75</v>
      </c>
      <c r="K231" s="1">
        <v>2</v>
      </c>
      <c r="L231" s="1">
        <v>47</v>
      </c>
      <c r="M231" s="1">
        <v>94</v>
      </c>
      <c r="N231" s="1">
        <v>5</v>
      </c>
      <c r="O231" s="1">
        <v>89</v>
      </c>
      <c r="P231" s="1" t="s">
        <v>1048</v>
      </c>
      <c r="Q231" s="1">
        <v>60</v>
      </c>
      <c r="R231" s="1" t="s">
        <v>20</v>
      </c>
      <c r="S231" s="1">
        <v>2</v>
      </c>
    </row>
    <row r="232" spans="1:19" x14ac:dyDescent="0.3">
      <c r="A232" s="1" t="s">
        <v>507</v>
      </c>
      <c r="B232" s="2">
        <v>45717</v>
      </c>
      <c r="C232" s="1" t="str">
        <f t="shared" si="6"/>
        <v>Sat</v>
      </c>
      <c r="D232" s="1" t="str">
        <f t="shared" si="7"/>
        <v>Weekend</v>
      </c>
      <c r="E232" s="3">
        <v>0.37847222222222221</v>
      </c>
      <c r="F232" s="1" t="s">
        <v>508</v>
      </c>
      <c r="G232" s="1" t="s">
        <v>45</v>
      </c>
      <c r="H232" s="1" t="s">
        <v>23</v>
      </c>
      <c r="I232" s="1" t="s">
        <v>99</v>
      </c>
      <c r="J232" s="1" t="s">
        <v>100</v>
      </c>
      <c r="K232" s="1">
        <v>6</v>
      </c>
      <c r="L232" s="1">
        <v>111</v>
      </c>
      <c r="M232" s="1">
        <v>666</v>
      </c>
      <c r="N232" s="1">
        <v>0</v>
      </c>
      <c r="O232" s="1">
        <v>666</v>
      </c>
      <c r="P232" s="1" t="s">
        <v>1049</v>
      </c>
      <c r="Q232" s="1">
        <v>34</v>
      </c>
      <c r="R232" s="1" t="s">
        <v>20</v>
      </c>
      <c r="S232" s="1">
        <v>4</v>
      </c>
    </row>
    <row r="233" spans="1:19" x14ac:dyDescent="0.3">
      <c r="A233" s="1" t="s">
        <v>509</v>
      </c>
      <c r="B233" s="2">
        <v>45665</v>
      </c>
      <c r="C233" s="1" t="str">
        <f t="shared" si="6"/>
        <v>Wed</v>
      </c>
      <c r="D233" s="1" t="str">
        <f t="shared" si="7"/>
        <v>Weekday</v>
      </c>
      <c r="E233" s="3">
        <v>0.78125</v>
      </c>
      <c r="F233" s="1" t="s">
        <v>510</v>
      </c>
      <c r="G233" s="1" t="s">
        <v>28</v>
      </c>
      <c r="H233" s="1" t="s">
        <v>23</v>
      </c>
      <c r="I233" s="1" t="s">
        <v>17</v>
      </c>
      <c r="J233" s="1" t="s">
        <v>18</v>
      </c>
      <c r="K233" s="1">
        <v>5</v>
      </c>
      <c r="L233" s="1">
        <v>69</v>
      </c>
      <c r="M233" s="1">
        <v>345</v>
      </c>
      <c r="N233" s="1">
        <v>10</v>
      </c>
      <c r="O233" s="1">
        <v>335</v>
      </c>
      <c r="P233" s="1" t="s">
        <v>19</v>
      </c>
      <c r="Q233" s="1">
        <v>54</v>
      </c>
      <c r="R233" s="1" t="s">
        <v>31</v>
      </c>
      <c r="S233" s="1">
        <v>4</v>
      </c>
    </row>
    <row r="234" spans="1:19" x14ac:dyDescent="0.3">
      <c r="A234" s="1" t="s">
        <v>511</v>
      </c>
      <c r="B234" s="2">
        <v>45962</v>
      </c>
      <c r="C234" s="1" t="str">
        <f t="shared" si="6"/>
        <v>Sat</v>
      </c>
      <c r="D234" s="1" t="str">
        <f t="shared" si="7"/>
        <v>Weekend</v>
      </c>
      <c r="E234" s="3">
        <v>0.37847222222222221</v>
      </c>
      <c r="F234" s="1" t="s">
        <v>512</v>
      </c>
      <c r="G234" s="1" t="s">
        <v>54</v>
      </c>
      <c r="H234" s="1" t="s">
        <v>64</v>
      </c>
      <c r="I234" s="1" t="s">
        <v>17</v>
      </c>
      <c r="J234" s="1" t="s">
        <v>18</v>
      </c>
      <c r="K234" s="1">
        <v>2</v>
      </c>
      <c r="L234" s="1">
        <v>103</v>
      </c>
      <c r="M234" s="1">
        <v>206</v>
      </c>
      <c r="N234" s="1">
        <v>5</v>
      </c>
      <c r="O234" s="1">
        <v>201</v>
      </c>
      <c r="P234" s="1" t="s">
        <v>38</v>
      </c>
      <c r="Q234" s="1">
        <v>18</v>
      </c>
      <c r="R234" s="1" t="s">
        <v>20</v>
      </c>
      <c r="S234" s="1">
        <v>1</v>
      </c>
    </row>
    <row r="235" spans="1:19" x14ac:dyDescent="0.3">
      <c r="A235" s="1" t="s">
        <v>513</v>
      </c>
      <c r="B235" s="2">
        <v>45931</v>
      </c>
      <c r="C235" s="1" t="str">
        <f t="shared" si="6"/>
        <v>Wed</v>
      </c>
      <c r="D235" s="1" t="str">
        <f t="shared" si="7"/>
        <v>Weekday</v>
      </c>
      <c r="E235" s="3">
        <v>0.76041666666666663</v>
      </c>
      <c r="F235" s="1" t="s">
        <v>514</v>
      </c>
      <c r="G235" s="1" t="s">
        <v>54</v>
      </c>
      <c r="H235" s="1" t="s">
        <v>29</v>
      </c>
      <c r="I235" s="1" t="s">
        <v>30</v>
      </c>
      <c r="J235" s="1" t="s">
        <v>18</v>
      </c>
      <c r="K235" s="1">
        <v>4</v>
      </c>
      <c r="L235" s="1">
        <v>38</v>
      </c>
      <c r="M235" s="1">
        <v>152</v>
      </c>
      <c r="N235" s="1">
        <v>0</v>
      </c>
      <c r="O235" s="1">
        <v>152</v>
      </c>
      <c r="P235" s="1" t="s">
        <v>1048</v>
      </c>
      <c r="Q235" s="1">
        <v>57</v>
      </c>
      <c r="R235" s="1" t="s">
        <v>31</v>
      </c>
      <c r="S235" s="1">
        <v>2</v>
      </c>
    </row>
    <row r="236" spans="1:19" x14ac:dyDescent="0.3">
      <c r="A236" s="1" t="s">
        <v>515</v>
      </c>
      <c r="B236" s="2">
        <v>45717</v>
      </c>
      <c r="C236" s="1" t="str">
        <f t="shared" si="6"/>
        <v>Sat</v>
      </c>
      <c r="D236" s="1" t="str">
        <f t="shared" si="7"/>
        <v>Weekend</v>
      </c>
      <c r="E236" s="3">
        <v>0.76041666666666663</v>
      </c>
      <c r="F236" s="1" t="s">
        <v>516</v>
      </c>
      <c r="G236" s="1" t="s">
        <v>48</v>
      </c>
      <c r="H236" s="1" t="s">
        <v>35</v>
      </c>
      <c r="I236" s="1" t="s">
        <v>51</v>
      </c>
      <c r="J236" s="1" t="s">
        <v>18</v>
      </c>
      <c r="K236" s="1">
        <v>2</v>
      </c>
      <c r="L236" s="1">
        <v>60</v>
      </c>
      <c r="M236" s="1">
        <v>120</v>
      </c>
      <c r="N236" s="1">
        <v>5</v>
      </c>
      <c r="O236" s="1">
        <v>115</v>
      </c>
      <c r="P236" s="1" t="s">
        <v>1049</v>
      </c>
      <c r="Q236" s="1">
        <v>60</v>
      </c>
      <c r="R236" s="1" t="s">
        <v>31</v>
      </c>
      <c r="S236" s="1">
        <v>3</v>
      </c>
    </row>
    <row r="237" spans="1:19" x14ac:dyDescent="0.3">
      <c r="A237" s="1" t="s">
        <v>517</v>
      </c>
      <c r="B237" s="2">
        <v>45668</v>
      </c>
      <c r="C237" s="1" t="str">
        <f t="shared" si="6"/>
        <v>Sat</v>
      </c>
      <c r="D237" s="1" t="str">
        <f t="shared" si="7"/>
        <v>Weekend</v>
      </c>
      <c r="E237" s="3">
        <v>0.4375</v>
      </c>
      <c r="F237" s="1" t="s">
        <v>518</v>
      </c>
      <c r="G237" s="1" t="s">
        <v>1047</v>
      </c>
      <c r="H237" s="1" t="s">
        <v>41</v>
      </c>
      <c r="I237" s="1" t="s">
        <v>36</v>
      </c>
      <c r="J237" s="1" t="s">
        <v>37</v>
      </c>
      <c r="K237" s="1">
        <v>5</v>
      </c>
      <c r="L237" s="1">
        <v>72</v>
      </c>
      <c r="M237" s="1">
        <v>360</v>
      </c>
      <c r="N237" s="1">
        <v>0</v>
      </c>
      <c r="O237" s="1">
        <v>360</v>
      </c>
      <c r="P237" s="1" t="s">
        <v>1049</v>
      </c>
      <c r="Q237" s="1">
        <v>38</v>
      </c>
      <c r="R237" s="1" t="s">
        <v>20</v>
      </c>
      <c r="S237" s="1">
        <v>1</v>
      </c>
    </row>
    <row r="238" spans="1:19" x14ac:dyDescent="0.3">
      <c r="A238" s="1" t="s">
        <v>519</v>
      </c>
      <c r="B238" s="2">
        <v>45661</v>
      </c>
      <c r="C238" s="1" t="str">
        <f t="shared" si="6"/>
        <v>Sat</v>
      </c>
      <c r="D238" s="1" t="str">
        <f t="shared" si="7"/>
        <v>Weekend</v>
      </c>
      <c r="E238" s="3">
        <v>0.76041666666666663</v>
      </c>
      <c r="F238" s="1" t="s">
        <v>520</v>
      </c>
      <c r="G238" s="1" t="s">
        <v>45</v>
      </c>
      <c r="H238" s="1" t="s">
        <v>55</v>
      </c>
      <c r="I238" s="1" t="s">
        <v>17</v>
      </c>
      <c r="J238" s="1" t="s">
        <v>18</v>
      </c>
      <c r="K238" s="1">
        <v>1</v>
      </c>
      <c r="L238" s="1">
        <v>81</v>
      </c>
      <c r="M238" s="1">
        <v>81</v>
      </c>
      <c r="N238" s="1">
        <v>0</v>
      </c>
      <c r="O238" s="1">
        <v>81</v>
      </c>
      <c r="P238" s="1" t="s">
        <v>1048</v>
      </c>
      <c r="Q238" s="1">
        <v>27</v>
      </c>
      <c r="R238" s="1" t="s">
        <v>31</v>
      </c>
      <c r="S238" s="1">
        <v>3</v>
      </c>
    </row>
    <row r="239" spans="1:19" x14ac:dyDescent="0.3">
      <c r="A239" s="1" t="s">
        <v>521</v>
      </c>
      <c r="B239" s="2">
        <v>45658</v>
      </c>
      <c r="C239" s="1" t="str">
        <f t="shared" si="6"/>
        <v>Wed</v>
      </c>
      <c r="D239" s="1" t="str">
        <f t="shared" si="7"/>
        <v>Weekday</v>
      </c>
      <c r="E239" s="3">
        <v>0.78125</v>
      </c>
      <c r="F239" s="1" t="s">
        <v>522</v>
      </c>
      <c r="G239" s="1" t="s">
        <v>28</v>
      </c>
      <c r="H239" s="1" t="s">
        <v>64</v>
      </c>
      <c r="I239" s="1" t="s">
        <v>87</v>
      </c>
      <c r="J239" s="1" t="s">
        <v>88</v>
      </c>
      <c r="K239" s="1">
        <v>4</v>
      </c>
      <c r="L239" s="1">
        <v>52</v>
      </c>
      <c r="M239" s="1">
        <v>208</v>
      </c>
      <c r="N239" s="1">
        <v>0</v>
      </c>
      <c r="O239" s="1">
        <v>208</v>
      </c>
      <c r="P239" s="1" t="s">
        <v>1048</v>
      </c>
      <c r="Q239" s="1">
        <v>39</v>
      </c>
      <c r="R239" s="1" t="s">
        <v>31</v>
      </c>
      <c r="S239" s="1"/>
    </row>
    <row r="240" spans="1:19" x14ac:dyDescent="0.3">
      <c r="A240" s="1" t="s">
        <v>523</v>
      </c>
      <c r="B240" s="2">
        <v>45870</v>
      </c>
      <c r="C240" s="1" t="str">
        <f t="shared" si="6"/>
        <v>Fri</v>
      </c>
      <c r="D240" s="1" t="str">
        <f t="shared" si="7"/>
        <v>Weekday</v>
      </c>
      <c r="E240" s="3">
        <v>0.4375</v>
      </c>
      <c r="F240" s="1" t="s">
        <v>524</v>
      </c>
      <c r="G240" s="1" t="s">
        <v>28</v>
      </c>
      <c r="H240" s="1" t="s">
        <v>29</v>
      </c>
      <c r="I240" s="1" t="s">
        <v>30</v>
      </c>
      <c r="J240" s="1" t="s">
        <v>18</v>
      </c>
      <c r="K240" s="1">
        <v>6</v>
      </c>
      <c r="L240" s="1">
        <v>83</v>
      </c>
      <c r="M240" s="1">
        <v>498</v>
      </c>
      <c r="N240" s="1">
        <v>0</v>
      </c>
      <c r="O240" s="1">
        <v>498</v>
      </c>
      <c r="P240" s="1" t="s">
        <v>1048</v>
      </c>
      <c r="Q240" s="1">
        <v>48</v>
      </c>
      <c r="R240" s="1" t="s">
        <v>31</v>
      </c>
      <c r="S240" s="1">
        <v>5</v>
      </c>
    </row>
    <row r="241" spans="1:19" x14ac:dyDescent="0.3">
      <c r="A241" s="1" t="s">
        <v>525</v>
      </c>
      <c r="B241" s="2">
        <v>45901</v>
      </c>
      <c r="C241" s="1" t="str">
        <f t="shared" si="6"/>
        <v>Mon</v>
      </c>
      <c r="D241" s="1" t="str">
        <f t="shared" si="7"/>
        <v>Weekday</v>
      </c>
      <c r="E241" s="3">
        <v>0.37847222222222221</v>
      </c>
      <c r="F241" s="1" t="s">
        <v>526</v>
      </c>
      <c r="G241" s="1" t="s">
        <v>48</v>
      </c>
      <c r="H241" s="1" t="s">
        <v>23</v>
      </c>
      <c r="I241" s="1" t="s">
        <v>30</v>
      </c>
      <c r="J241" s="1" t="s">
        <v>18</v>
      </c>
      <c r="K241" s="1">
        <v>5</v>
      </c>
      <c r="L241" s="1">
        <v>50</v>
      </c>
      <c r="M241" s="1">
        <v>250</v>
      </c>
      <c r="N241" s="1">
        <v>0</v>
      </c>
      <c r="O241" s="1">
        <v>250</v>
      </c>
      <c r="P241" s="1" t="s">
        <v>19</v>
      </c>
      <c r="Q241" s="1">
        <v>47</v>
      </c>
      <c r="R241" s="1" t="s">
        <v>31</v>
      </c>
      <c r="S241" s="1">
        <v>1</v>
      </c>
    </row>
    <row r="242" spans="1:19" x14ac:dyDescent="0.3">
      <c r="A242" s="1" t="s">
        <v>527</v>
      </c>
      <c r="B242" s="2">
        <v>45661</v>
      </c>
      <c r="C242" s="1" t="str">
        <f t="shared" si="6"/>
        <v>Sat</v>
      </c>
      <c r="D242" s="1" t="str">
        <f t="shared" si="7"/>
        <v>Weekend</v>
      </c>
      <c r="E242" s="3">
        <v>0.4375</v>
      </c>
      <c r="F242" s="1" t="s">
        <v>528</v>
      </c>
      <c r="G242" s="1" t="s">
        <v>28</v>
      </c>
      <c r="H242" s="1" t="s">
        <v>23</v>
      </c>
      <c r="I242" s="1" t="s">
        <v>99</v>
      </c>
      <c r="J242" s="1" t="s">
        <v>100</v>
      </c>
      <c r="K242" s="1">
        <v>6</v>
      </c>
      <c r="L242" s="1">
        <v>11</v>
      </c>
      <c r="M242" s="1">
        <v>66</v>
      </c>
      <c r="N242" s="1">
        <v>0</v>
      </c>
      <c r="O242" s="1">
        <v>66</v>
      </c>
      <c r="P242" s="1" t="s">
        <v>38</v>
      </c>
      <c r="Q242" s="1">
        <v>13</v>
      </c>
      <c r="R242" s="1" t="s">
        <v>31</v>
      </c>
      <c r="S242" s="1">
        <v>4</v>
      </c>
    </row>
    <row r="243" spans="1:19" x14ac:dyDescent="0.3">
      <c r="A243" s="1" t="s">
        <v>529</v>
      </c>
      <c r="B243" s="2">
        <v>45717</v>
      </c>
      <c r="C243" s="1" t="str">
        <f t="shared" si="6"/>
        <v>Sat</v>
      </c>
      <c r="D243" s="1" t="str">
        <f t="shared" si="7"/>
        <v>Weekend</v>
      </c>
      <c r="E243" s="3">
        <v>0.37847222222222221</v>
      </c>
      <c r="F243" s="1" t="s">
        <v>530</v>
      </c>
      <c r="G243" s="1" t="s">
        <v>28</v>
      </c>
      <c r="H243" s="1" t="s">
        <v>41</v>
      </c>
      <c r="I243" s="1" t="s">
        <v>36</v>
      </c>
      <c r="J243" s="1" t="s">
        <v>37</v>
      </c>
      <c r="K243" s="1">
        <v>2</v>
      </c>
      <c r="L243" s="1">
        <v>55</v>
      </c>
      <c r="M243" s="1">
        <v>110</v>
      </c>
      <c r="N243" s="1">
        <v>0</v>
      </c>
      <c r="O243" s="1">
        <v>110</v>
      </c>
      <c r="P243" s="1" t="s">
        <v>1048</v>
      </c>
      <c r="Q243" s="1">
        <v>50</v>
      </c>
      <c r="R243" s="1" t="s">
        <v>20</v>
      </c>
      <c r="S243" s="1">
        <v>4</v>
      </c>
    </row>
    <row r="244" spans="1:19" x14ac:dyDescent="0.3">
      <c r="A244" s="1" t="s">
        <v>531</v>
      </c>
      <c r="B244" s="2">
        <v>45901</v>
      </c>
      <c r="C244" s="1" t="str">
        <f t="shared" si="6"/>
        <v>Mon</v>
      </c>
      <c r="D244" s="1" t="str">
        <f t="shared" si="7"/>
        <v>Weekday</v>
      </c>
      <c r="E244" s="3">
        <v>0.4375</v>
      </c>
      <c r="F244" s="1" t="s">
        <v>532</v>
      </c>
      <c r="G244" s="1" t="s">
        <v>45</v>
      </c>
      <c r="H244" s="1" t="s">
        <v>16</v>
      </c>
      <c r="I244" s="1" t="s">
        <v>17</v>
      </c>
      <c r="J244" s="1" t="s">
        <v>18</v>
      </c>
      <c r="K244" s="1">
        <v>5</v>
      </c>
      <c r="L244" s="1">
        <v>81</v>
      </c>
      <c r="M244" s="1">
        <v>405</v>
      </c>
      <c r="N244" s="1">
        <v>0</v>
      </c>
      <c r="O244" s="1">
        <v>405</v>
      </c>
      <c r="P244" s="1" t="s">
        <v>1048</v>
      </c>
      <c r="Q244" s="1">
        <v>33</v>
      </c>
      <c r="R244" s="1" t="s">
        <v>20</v>
      </c>
      <c r="S244" s="1">
        <v>4</v>
      </c>
    </row>
    <row r="245" spans="1:19" x14ac:dyDescent="0.3">
      <c r="A245" s="1" t="s">
        <v>533</v>
      </c>
      <c r="B245" s="2">
        <v>45962</v>
      </c>
      <c r="C245" s="1" t="str">
        <f t="shared" si="6"/>
        <v>Sat</v>
      </c>
      <c r="D245" s="1" t="str">
        <f t="shared" si="7"/>
        <v>Weekend</v>
      </c>
      <c r="E245" s="3">
        <v>0.78125</v>
      </c>
      <c r="F245" s="1" t="s">
        <v>534</v>
      </c>
      <c r="G245" s="1" t="s">
        <v>28</v>
      </c>
      <c r="H245" s="1" t="s">
        <v>64</v>
      </c>
      <c r="I245" s="1" t="s">
        <v>17</v>
      </c>
      <c r="J245" s="1" t="s">
        <v>18</v>
      </c>
      <c r="K245" s="1">
        <v>2</v>
      </c>
      <c r="L245" s="1">
        <v>88</v>
      </c>
      <c r="M245" s="1">
        <v>176</v>
      </c>
      <c r="N245" s="1">
        <v>10</v>
      </c>
      <c r="O245" s="1">
        <v>166</v>
      </c>
      <c r="P245" s="1" t="s">
        <v>1049</v>
      </c>
      <c r="Q245" s="1">
        <v>47</v>
      </c>
      <c r="R245" s="1" t="s">
        <v>20</v>
      </c>
      <c r="S245" s="1">
        <v>5</v>
      </c>
    </row>
    <row r="246" spans="1:19" x14ac:dyDescent="0.3">
      <c r="A246" s="1" t="s">
        <v>535</v>
      </c>
      <c r="B246" s="2">
        <v>45901</v>
      </c>
      <c r="C246" s="1" t="str">
        <f t="shared" si="6"/>
        <v>Mon</v>
      </c>
      <c r="D246" s="1" t="str">
        <f t="shared" si="7"/>
        <v>Weekday</v>
      </c>
      <c r="E246" s="3">
        <v>0.76041666666666663</v>
      </c>
      <c r="F246" s="1" t="s">
        <v>536</v>
      </c>
      <c r="G246" s="1" t="s">
        <v>45</v>
      </c>
      <c r="H246" s="1" t="s">
        <v>64</v>
      </c>
      <c r="I246" s="1" t="s">
        <v>36</v>
      </c>
      <c r="J246" s="1" t="s">
        <v>37</v>
      </c>
      <c r="K246" s="1">
        <v>2</v>
      </c>
      <c r="L246" s="1">
        <v>102</v>
      </c>
      <c r="M246" s="1">
        <v>204</v>
      </c>
      <c r="N246" s="1">
        <v>10</v>
      </c>
      <c r="O246" s="1">
        <v>194</v>
      </c>
      <c r="P246" s="1" t="s">
        <v>19</v>
      </c>
      <c r="Q246" s="1">
        <v>37</v>
      </c>
      <c r="R246" s="1" t="s">
        <v>31</v>
      </c>
      <c r="S246" s="1">
        <v>4</v>
      </c>
    </row>
    <row r="247" spans="1:19" x14ac:dyDescent="0.3">
      <c r="A247" s="1" t="s">
        <v>537</v>
      </c>
      <c r="B247" s="2">
        <v>45689</v>
      </c>
      <c r="C247" s="1" t="str">
        <f t="shared" si="6"/>
        <v>Sat</v>
      </c>
      <c r="D247" s="1" t="str">
        <f t="shared" si="7"/>
        <v>Weekend</v>
      </c>
      <c r="E247" s="3">
        <v>0.76041666666666663</v>
      </c>
      <c r="F247" s="1" t="s">
        <v>538</v>
      </c>
      <c r="G247" s="1" t="s">
        <v>48</v>
      </c>
      <c r="H247" s="1" t="s">
        <v>29</v>
      </c>
      <c r="I247" s="1" t="s">
        <v>87</v>
      </c>
      <c r="J247" s="1" t="s">
        <v>88</v>
      </c>
      <c r="K247" s="1">
        <v>2</v>
      </c>
      <c r="L247" s="1">
        <v>64</v>
      </c>
      <c r="M247" s="1">
        <v>128</v>
      </c>
      <c r="N247" s="1">
        <v>5</v>
      </c>
      <c r="O247" s="1">
        <v>123</v>
      </c>
      <c r="P247" s="1" t="s">
        <v>38</v>
      </c>
      <c r="Q247" s="1">
        <v>58</v>
      </c>
      <c r="R247" s="1" t="s">
        <v>20</v>
      </c>
      <c r="S247" s="1">
        <v>2</v>
      </c>
    </row>
    <row r="248" spans="1:19" x14ac:dyDescent="0.3">
      <c r="A248" s="1" t="s">
        <v>539</v>
      </c>
      <c r="B248" s="2">
        <v>45839</v>
      </c>
      <c r="C248" s="1" t="str">
        <f t="shared" si="6"/>
        <v>Tue</v>
      </c>
      <c r="D248" s="1" t="str">
        <f t="shared" si="7"/>
        <v>Weekday</v>
      </c>
      <c r="E248" s="3">
        <v>0.37847222222222221</v>
      </c>
      <c r="F248" s="1" t="s">
        <v>540</v>
      </c>
      <c r="G248" s="1" t="s">
        <v>84</v>
      </c>
      <c r="H248" s="1" t="s">
        <v>16</v>
      </c>
      <c r="I248" s="1" t="s">
        <v>42</v>
      </c>
      <c r="J248" s="1" t="s">
        <v>25</v>
      </c>
      <c r="K248" s="1">
        <v>4</v>
      </c>
      <c r="L248" s="1">
        <v>14</v>
      </c>
      <c r="M248" s="1">
        <v>56</v>
      </c>
      <c r="N248" s="1">
        <v>0</v>
      </c>
      <c r="O248" s="1">
        <v>56</v>
      </c>
      <c r="P248" s="1" t="s">
        <v>38</v>
      </c>
      <c r="Q248" s="1">
        <v>44</v>
      </c>
      <c r="R248" s="1" t="s">
        <v>20</v>
      </c>
      <c r="S248" s="1">
        <v>1</v>
      </c>
    </row>
    <row r="249" spans="1:19" x14ac:dyDescent="0.3">
      <c r="A249" s="1" t="s">
        <v>541</v>
      </c>
      <c r="B249" s="2">
        <v>45778</v>
      </c>
      <c r="C249" s="1" t="str">
        <f t="shared" si="6"/>
        <v>Thu</v>
      </c>
      <c r="D249" s="1" t="str">
        <f t="shared" si="7"/>
        <v>Weekday</v>
      </c>
      <c r="E249" s="3">
        <v>0.78125</v>
      </c>
      <c r="F249" s="1" t="s">
        <v>542</v>
      </c>
      <c r="G249" s="1" t="s">
        <v>28</v>
      </c>
      <c r="H249" s="1" t="s">
        <v>41</v>
      </c>
      <c r="I249" s="1" t="s">
        <v>42</v>
      </c>
      <c r="J249" s="1" t="s">
        <v>25</v>
      </c>
      <c r="K249" s="1">
        <v>3</v>
      </c>
      <c r="L249" s="1">
        <v>85</v>
      </c>
      <c r="M249" s="1">
        <v>255</v>
      </c>
      <c r="N249" s="1">
        <v>0</v>
      </c>
      <c r="O249" s="1">
        <v>255</v>
      </c>
      <c r="P249" s="1" t="s">
        <v>1048</v>
      </c>
      <c r="Q249" s="1">
        <v>57</v>
      </c>
      <c r="R249" s="1" t="s">
        <v>20</v>
      </c>
      <c r="S249" s="1">
        <v>3</v>
      </c>
    </row>
    <row r="250" spans="1:19" x14ac:dyDescent="0.3">
      <c r="A250" s="1" t="s">
        <v>543</v>
      </c>
      <c r="B250" s="2">
        <v>45748</v>
      </c>
      <c r="C250" s="1" t="str">
        <f t="shared" si="6"/>
        <v>Tue</v>
      </c>
      <c r="D250" s="1" t="str">
        <f t="shared" si="7"/>
        <v>Weekday</v>
      </c>
      <c r="E250" s="3">
        <v>0.78125</v>
      </c>
      <c r="F250" s="1" t="s">
        <v>544</v>
      </c>
      <c r="G250" s="1" t="s">
        <v>48</v>
      </c>
      <c r="H250" s="1" t="s">
        <v>55</v>
      </c>
      <c r="I250" s="1" t="s">
        <v>87</v>
      </c>
      <c r="J250" s="1" t="s">
        <v>88</v>
      </c>
      <c r="K250" s="1">
        <v>2</v>
      </c>
      <c r="L250" s="1">
        <v>25</v>
      </c>
      <c r="M250" s="1">
        <v>50</v>
      </c>
      <c r="N250" s="1">
        <v>10</v>
      </c>
      <c r="O250" s="1">
        <v>40</v>
      </c>
      <c r="P250" s="1" t="s">
        <v>1048</v>
      </c>
      <c r="Q250" s="1">
        <v>22</v>
      </c>
      <c r="R250" s="1" t="s">
        <v>20</v>
      </c>
      <c r="S250" s="1">
        <v>5</v>
      </c>
    </row>
    <row r="251" spans="1:19" x14ac:dyDescent="0.3">
      <c r="A251" s="1" t="s">
        <v>545</v>
      </c>
      <c r="B251" s="2">
        <v>45778</v>
      </c>
      <c r="C251" s="1" t="str">
        <f t="shared" si="6"/>
        <v>Thu</v>
      </c>
      <c r="D251" s="1" t="str">
        <f t="shared" si="7"/>
        <v>Weekday</v>
      </c>
      <c r="E251" s="3">
        <v>0.76041666666666663</v>
      </c>
      <c r="F251" s="1" t="s">
        <v>546</v>
      </c>
      <c r="G251" s="1" t="s">
        <v>54</v>
      </c>
      <c r="H251" s="1" t="s">
        <v>64</v>
      </c>
      <c r="I251" s="1" t="s">
        <v>74</v>
      </c>
      <c r="J251" s="1" t="s">
        <v>75</v>
      </c>
      <c r="K251" s="1">
        <v>5</v>
      </c>
      <c r="L251" s="1">
        <v>14</v>
      </c>
      <c r="M251" s="1">
        <v>70</v>
      </c>
      <c r="N251" s="1">
        <v>0</v>
      </c>
      <c r="O251" s="1">
        <v>70</v>
      </c>
      <c r="P251" s="1" t="s">
        <v>19</v>
      </c>
      <c r="Q251" s="1">
        <v>51</v>
      </c>
      <c r="R251" s="1" t="s">
        <v>20</v>
      </c>
      <c r="S251" s="1">
        <v>1</v>
      </c>
    </row>
    <row r="252" spans="1:19" x14ac:dyDescent="0.3">
      <c r="A252" s="1" t="s">
        <v>547</v>
      </c>
      <c r="B252" s="2">
        <v>45748</v>
      </c>
      <c r="C252" s="1" t="str">
        <f t="shared" si="6"/>
        <v>Tue</v>
      </c>
      <c r="D252" s="1" t="str">
        <f t="shared" si="7"/>
        <v>Weekday</v>
      </c>
      <c r="E252" s="3">
        <v>0.76041666666666663</v>
      </c>
      <c r="F252" s="1" t="s">
        <v>548</v>
      </c>
      <c r="G252" s="1" t="s">
        <v>45</v>
      </c>
      <c r="H252" s="1" t="s">
        <v>35</v>
      </c>
      <c r="I252" s="1" t="s">
        <v>30</v>
      </c>
      <c r="J252" s="1" t="s">
        <v>18</v>
      </c>
      <c r="K252" s="1">
        <v>3</v>
      </c>
      <c r="L252" s="1">
        <v>84</v>
      </c>
      <c r="M252" s="1">
        <v>252</v>
      </c>
      <c r="N252" s="1">
        <v>0</v>
      </c>
      <c r="O252" s="1">
        <v>252</v>
      </c>
      <c r="P252" s="1" t="s">
        <v>38</v>
      </c>
      <c r="Q252" s="1">
        <v>36</v>
      </c>
      <c r="R252" s="1" t="s">
        <v>20</v>
      </c>
      <c r="S252" s="1"/>
    </row>
    <row r="253" spans="1:19" x14ac:dyDescent="0.3">
      <c r="A253" s="1" t="s">
        <v>549</v>
      </c>
      <c r="B253" s="2">
        <v>45870</v>
      </c>
      <c r="C253" s="1" t="str">
        <f t="shared" si="6"/>
        <v>Fri</v>
      </c>
      <c r="D253" s="1" t="str">
        <f t="shared" si="7"/>
        <v>Weekday</v>
      </c>
      <c r="E253" s="3">
        <v>0.78125</v>
      </c>
      <c r="F253" s="1" t="s">
        <v>550</v>
      </c>
      <c r="G253" s="1" t="s">
        <v>1047</v>
      </c>
      <c r="H253" s="1" t="s">
        <v>35</v>
      </c>
      <c r="I253" s="1" t="s">
        <v>74</v>
      </c>
      <c r="J253" s="1" t="s">
        <v>75</v>
      </c>
      <c r="K253" s="1">
        <v>2</v>
      </c>
      <c r="L253" s="1">
        <v>28</v>
      </c>
      <c r="M253" s="1">
        <v>56</v>
      </c>
      <c r="N253" s="1">
        <v>0</v>
      </c>
      <c r="O253" s="1">
        <v>56</v>
      </c>
      <c r="P253" s="1" t="s">
        <v>38</v>
      </c>
      <c r="Q253" s="1">
        <v>36</v>
      </c>
      <c r="R253" s="1" t="s">
        <v>31</v>
      </c>
      <c r="S253" s="1"/>
    </row>
    <row r="254" spans="1:19" x14ac:dyDescent="0.3">
      <c r="A254" s="1" t="s">
        <v>551</v>
      </c>
      <c r="B254" s="2">
        <v>45809</v>
      </c>
      <c r="C254" s="1" t="str">
        <f t="shared" si="6"/>
        <v>Sun</v>
      </c>
      <c r="D254" s="1" t="str">
        <f t="shared" si="7"/>
        <v>Weekend</v>
      </c>
      <c r="E254" s="3">
        <v>0.78125</v>
      </c>
      <c r="F254" s="1" t="s">
        <v>552</v>
      </c>
      <c r="G254" s="1" t="s">
        <v>45</v>
      </c>
      <c r="H254" s="1" t="s">
        <v>29</v>
      </c>
      <c r="I254" s="1" t="s">
        <v>30</v>
      </c>
      <c r="J254" s="1" t="s">
        <v>18</v>
      </c>
      <c r="K254" s="1">
        <v>6</v>
      </c>
      <c r="L254" s="1">
        <v>73</v>
      </c>
      <c r="M254" s="1">
        <v>438</v>
      </c>
      <c r="N254" s="1">
        <v>0</v>
      </c>
      <c r="O254" s="1">
        <v>438</v>
      </c>
      <c r="P254" s="1" t="s">
        <v>1048</v>
      </c>
      <c r="Q254" s="1">
        <v>40</v>
      </c>
      <c r="R254" s="1" t="s">
        <v>31</v>
      </c>
      <c r="S254" s="1">
        <v>1</v>
      </c>
    </row>
    <row r="255" spans="1:19" x14ac:dyDescent="0.3">
      <c r="A255" s="1" t="s">
        <v>553</v>
      </c>
      <c r="B255" s="2">
        <v>45870</v>
      </c>
      <c r="C255" s="1" t="str">
        <f t="shared" si="6"/>
        <v>Fri</v>
      </c>
      <c r="D255" s="1" t="str">
        <f t="shared" si="7"/>
        <v>Weekday</v>
      </c>
      <c r="E255" s="3">
        <v>0.4375</v>
      </c>
      <c r="F255" s="1" t="s">
        <v>554</v>
      </c>
      <c r="G255" s="1" t="s">
        <v>48</v>
      </c>
      <c r="H255" s="1" t="s">
        <v>41</v>
      </c>
      <c r="I255" s="1" t="s">
        <v>51</v>
      </c>
      <c r="J255" s="1" t="s">
        <v>18</v>
      </c>
      <c r="K255" s="1">
        <v>3</v>
      </c>
      <c r="L255" s="1">
        <v>42</v>
      </c>
      <c r="M255" s="1">
        <v>126</v>
      </c>
      <c r="N255" s="1">
        <v>10</v>
      </c>
      <c r="O255" s="1">
        <v>116</v>
      </c>
      <c r="P255" s="1" t="s">
        <v>19</v>
      </c>
      <c r="Q255" s="1">
        <v>38</v>
      </c>
      <c r="R255" s="1" t="s">
        <v>20</v>
      </c>
      <c r="S255" s="1"/>
    </row>
    <row r="256" spans="1:19" x14ac:dyDescent="0.3">
      <c r="A256" s="1" t="s">
        <v>555</v>
      </c>
      <c r="B256" s="2">
        <v>45668</v>
      </c>
      <c r="C256" s="1" t="str">
        <f t="shared" si="6"/>
        <v>Sat</v>
      </c>
      <c r="D256" s="1" t="str">
        <f t="shared" si="7"/>
        <v>Weekend</v>
      </c>
      <c r="E256" s="3">
        <v>0.4375</v>
      </c>
      <c r="F256" s="1" t="s">
        <v>556</v>
      </c>
      <c r="G256" s="1" t="s">
        <v>28</v>
      </c>
      <c r="H256" s="1" t="s">
        <v>41</v>
      </c>
      <c r="I256" s="1" t="s">
        <v>74</v>
      </c>
      <c r="J256" s="1" t="s">
        <v>75</v>
      </c>
      <c r="K256" s="1">
        <v>1</v>
      </c>
      <c r="L256" s="1">
        <v>99</v>
      </c>
      <c r="M256" s="1">
        <v>99</v>
      </c>
      <c r="N256" s="1">
        <v>5</v>
      </c>
      <c r="O256" s="1">
        <v>94</v>
      </c>
      <c r="P256" s="1" t="s">
        <v>38</v>
      </c>
      <c r="Q256" s="1">
        <v>60</v>
      </c>
      <c r="R256" s="1" t="s">
        <v>31</v>
      </c>
      <c r="S256" s="1">
        <v>4</v>
      </c>
    </row>
    <row r="257" spans="1:19" x14ac:dyDescent="0.3">
      <c r="A257" s="1" t="s">
        <v>557</v>
      </c>
      <c r="B257" s="2">
        <v>45870</v>
      </c>
      <c r="C257" s="1" t="str">
        <f t="shared" si="6"/>
        <v>Fri</v>
      </c>
      <c r="D257" s="1" t="str">
        <f t="shared" si="7"/>
        <v>Weekday</v>
      </c>
      <c r="E257" s="3">
        <v>0.4375</v>
      </c>
      <c r="F257" s="1" t="s">
        <v>558</v>
      </c>
      <c r="G257" s="1" t="s">
        <v>84</v>
      </c>
      <c r="H257" s="1" t="s">
        <v>41</v>
      </c>
      <c r="I257" s="1" t="s">
        <v>17</v>
      </c>
      <c r="J257" s="1" t="s">
        <v>18</v>
      </c>
      <c r="K257" s="1">
        <v>5</v>
      </c>
      <c r="L257" s="1">
        <v>35</v>
      </c>
      <c r="M257" s="1">
        <v>175</v>
      </c>
      <c r="N257" s="1">
        <v>10</v>
      </c>
      <c r="O257" s="1">
        <v>165</v>
      </c>
      <c r="P257" s="1" t="s">
        <v>1049</v>
      </c>
      <c r="Q257" s="1">
        <v>19</v>
      </c>
      <c r="R257" s="1" t="s">
        <v>20</v>
      </c>
      <c r="S257" s="1">
        <v>4</v>
      </c>
    </row>
    <row r="258" spans="1:19" x14ac:dyDescent="0.3">
      <c r="A258" s="1" t="s">
        <v>559</v>
      </c>
      <c r="B258" s="2">
        <v>45778</v>
      </c>
      <c r="C258" s="1" t="str">
        <f t="shared" ref="C258:C321" si="8">TEXT(B258,"DDD")</f>
        <v>Thu</v>
      </c>
      <c r="D258" s="1" t="str">
        <f t="shared" si="7"/>
        <v>Weekday</v>
      </c>
      <c r="E258" s="3">
        <v>0.78125</v>
      </c>
      <c r="F258" s="1" t="s">
        <v>560</v>
      </c>
      <c r="G258" s="1" t="s">
        <v>54</v>
      </c>
      <c r="H258" s="1" t="s">
        <v>73</v>
      </c>
      <c r="I258" s="1" t="s">
        <v>30</v>
      </c>
      <c r="J258" s="1" t="s">
        <v>18</v>
      </c>
      <c r="K258" s="1">
        <v>3</v>
      </c>
      <c r="L258" s="1">
        <v>41</v>
      </c>
      <c r="M258" s="1">
        <v>123</v>
      </c>
      <c r="N258" s="1">
        <v>0</v>
      </c>
      <c r="O258" s="1">
        <v>123</v>
      </c>
      <c r="P258" s="1" t="s">
        <v>1048</v>
      </c>
      <c r="Q258" s="1">
        <v>38</v>
      </c>
      <c r="R258" s="1" t="s">
        <v>31</v>
      </c>
      <c r="S258" s="1">
        <v>2</v>
      </c>
    </row>
    <row r="259" spans="1:19" x14ac:dyDescent="0.3">
      <c r="A259" s="1" t="s">
        <v>561</v>
      </c>
      <c r="B259" s="2">
        <v>45663</v>
      </c>
      <c r="C259" s="1" t="str">
        <f t="shared" si="8"/>
        <v>Mon</v>
      </c>
      <c r="D259" s="1" t="str">
        <f t="shared" ref="D259:D322" si="9">IF(OR(C259="Sat",C259="Sun"),"Weekend","Weekday")</f>
        <v>Weekday</v>
      </c>
      <c r="E259" s="3">
        <v>0.4375</v>
      </c>
      <c r="F259" s="1" t="s">
        <v>562</v>
      </c>
      <c r="G259" s="1" t="s">
        <v>1047</v>
      </c>
      <c r="H259" s="1" t="s">
        <v>16</v>
      </c>
      <c r="I259" s="1" t="s">
        <v>99</v>
      </c>
      <c r="J259" s="1" t="s">
        <v>100</v>
      </c>
      <c r="K259" s="1">
        <v>4</v>
      </c>
      <c r="L259" s="1">
        <v>50</v>
      </c>
      <c r="M259" s="1">
        <v>200</v>
      </c>
      <c r="N259" s="1">
        <v>0</v>
      </c>
      <c r="O259" s="1">
        <v>200</v>
      </c>
      <c r="P259" s="1" t="s">
        <v>38</v>
      </c>
      <c r="Q259" s="1">
        <v>44</v>
      </c>
      <c r="R259" s="1" t="s">
        <v>20</v>
      </c>
      <c r="S259" s="1">
        <v>1</v>
      </c>
    </row>
    <row r="260" spans="1:19" x14ac:dyDescent="0.3">
      <c r="A260" s="1" t="s">
        <v>563</v>
      </c>
      <c r="B260" s="2">
        <v>45665</v>
      </c>
      <c r="C260" s="1" t="str">
        <f t="shared" si="8"/>
        <v>Wed</v>
      </c>
      <c r="D260" s="1" t="str">
        <f t="shared" si="9"/>
        <v>Weekday</v>
      </c>
      <c r="E260" s="3">
        <v>0.4375</v>
      </c>
      <c r="F260" s="1" t="s">
        <v>564</v>
      </c>
      <c r="G260" s="1" t="s">
        <v>45</v>
      </c>
      <c r="H260" s="1" t="s">
        <v>55</v>
      </c>
      <c r="I260" s="1" t="s">
        <v>17</v>
      </c>
      <c r="J260" s="1" t="s">
        <v>18</v>
      </c>
      <c r="K260" s="1">
        <v>1</v>
      </c>
      <c r="L260" s="1">
        <v>62</v>
      </c>
      <c r="M260" s="1">
        <v>62</v>
      </c>
      <c r="N260" s="1">
        <v>10</v>
      </c>
      <c r="O260" s="1">
        <v>52</v>
      </c>
      <c r="P260" s="1" t="s">
        <v>1048</v>
      </c>
      <c r="Q260" s="1">
        <v>47</v>
      </c>
      <c r="R260" s="1" t="s">
        <v>31</v>
      </c>
      <c r="S260" s="1">
        <v>3</v>
      </c>
    </row>
    <row r="261" spans="1:19" x14ac:dyDescent="0.3">
      <c r="A261" s="1" t="s">
        <v>565</v>
      </c>
      <c r="B261" s="2">
        <v>45660</v>
      </c>
      <c r="C261" s="1" t="str">
        <f t="shared" si="8"/>
        <v>Fri</v>
      </c>
      <c r="D261" s="1" t="str">
        <f t="shared" si="9"/>
        <v>Weekday</v>
      </c>
      <c r="E261" s="3">
        <v>0.78125</v>
      </c>
      <c r="F261" s="1" t="s">
        <v>566</v>
      </c>
      <c r="G261" s="1" t="s">
        <v>28</v>
      </c>
      <c r="H261" s="1" t="s">
        <v>29</v>
      </c>
      <c r="I261" s="1" t="s">
        <v>17</v>
      </c>
      <c r="J261" s="1" t="s">
        <v>18</v>
      </c>
      <c r="K261" s="1">
        <v>6</v>
      </c>
      <c r="L261" s="1">
        <v>63</v>
      </c>
      <c r="M261" s="1">
        <v>378</v>
      </c>
      <c r="N261" s="1">
        <v>10</v>
      </c>
      <c r="O261" s="1">
        <v>368</v>
      </c>
      <c r="P261" s="1" t="s">
        <v>38</v>
      </c>
      <c r="Q261" s="1">
        <v>44</v>
      </c>
      <c r="R261" s="1" t="s">
        <v>20</v>
      </c>
      <c r="S261" s="1">
        <v>1</v>
      </c>
    </row>
    <row r="262" spans="1:19" x14ac:dyDescent="0.3">
      <c r="A262" s="1" t="s">
        <v>567</v>
      </c>
      <c r="B262" s="2">
        <v>45667</v>
      </c>
      <c r="C262" s="1" t="str">
        <f t="shared" si="8"/>
        <v>Fri</v>
      </c>
      <c r="D262" s="1" t="str">
        <f t="shared" si="9"/>
        <v>Weekday</v>
      </c>
      <c r="E262" s="3">
        <v>0.37847222222222221</v>
      </c>
      <c r="F262" s="1" t="s">
        <v>568</v>
      </c>
      <c r="G262" s="1" t="s">
        <v>84</v>
      </c>
      <c r="H262" s="1" t="s">
        <v>23</v>
      </c>
      <c r="I262" s="1" t="s">
        <v>51</v>
      </c>
      <c r="J262" s="1" t="s">
        <v>18</v>
      </c>
      <c r="K262" s="1">
        <v>4</v>
      </c>
      <c r="L262" s="1">
        <v>114</v>
      </c>
      <c r="M262" s="1">
        <v>456</v>
      </c>
      <c r="N262" s="1">
        <v>0</v>
      </c>
      <c r="O262" s="1">
        <v>456</v>
      </c>
      <c r="P262" s="1" t="s">
        <v>1049</v>
      </c>
      <c r="Q262" s="1">
        <v>22</v>
      </c>
      <c r="R262" s="1" t="s">
        <v>31</v>
      </c>
      <c r="S262" s="1">
        <v>2</v>
      </c>
    </row>
    <row r="263" spans="1:19" x14ac:dyDescent="0.3">
      <c r="A263" s="1" t="s">
        <v>569</v>
      </c>
      <c r="B263" s="2">
        <v>45658</v>
      </c>
      <c r="C263" s="1" t="str">
        <f t="shared" si="8"/>
        <v>Wed</v>
      </c>
      <c r="D263" s="1" t="str">
        <f t="shared" si="9"/>
        <v>Weekday</v>
      </c>
      <c r="E263" s="3">
        <v>0.37847222222222221</v>
      </c>
      <c r="F263" s="1" t="s">
        <v>570</v>
      </c>
      <c r="G263" s="1" t="s">
        <v>54</v>
      </c>
      <c r="H263" s="1" t="s">
        <v>23</v>
      </c>
      <c r="I263" s="1" t="s">
        <v>30</v>
      </c>
      <c r="J263" s="1" t="s">
        <v>18</v>
      </c>
      <c r="K263" s="1">
        <v>2</v>
      </c>
      <c r="L263" s="1">
        <v>99</v>
      </c>
      <c r="M263" s="1">
        <v>198</v>
      </c>
      <c r="N263" s="1">
        <v>10</v>
      </c>
      <c r="O263" s="1">
        <v>188</v>
      </c>
      <c r="P263" s="1" t="s">
        <v>1049</v>
      </c>
      <c r="Q263" s="1">
        <v>44</v>
      </c>
      <c r="R263" s="1" t="s">
        <v>20</v>
      </c>
      <c r="S263" s="1">
        <v>5</v>
      </c>
    </row>
    <row r="264" spans="1:19" x14ac:dyDescent="0.3">
      <c r="A264" s="1" t="s">
        <v>571</v>
      </c>
      <c r="B264" s="2">
        <v>45658</v>
      </c>
      <c r="C264" s="1" t="str">
        <f t="shared" si="8"/>
        <v>Wed</v>
      </c>
      <c r="D264" s="1" t="str">
        <f t="shared" si="9"/>
        <v>Weekday</v>
      </c>
      <c r="E264" s="3">
        <v>0.78125</v>
      </c>
      <c r="F264" s="1" t="s">
        <v>572</v>
      </c>
      <c r="G264" s="1" t="s">
        <v>48</v>
      </c>
      <c r="H264" s="1" t="s">
        <v>41</v>
      </c>
      <c r="I264" s="1" t="s">
        <v>17</v>
      </c>
      <c r="J264" s="1" t="s">
        <v>18</v>
      </c>
      <c r="K264" s="1">
        <v>6</v>
      </c>
      <c r="L264" s="1">
        <v>91</v>
      </c>
      <c r="M264" s="1">
        <v>546</v>
      </c>
      <c r="N264" s="1">
        <v>5</v>
      </c>
      <c r="O264" s="1">
        <v>541</v>
      </c>
      <c r="P264" s="1" t="s">
        <v>1048</v>
      </c>
      <c r="Q264" s="1">
        <v>44</v>
      </c>
      <c r="R264" s="1" t="s">
        <v>31</v>
      </c>
      <c r="S264" s="1">
        <v>5</v>
      </c>
    </row>
    <row r="265" spans="1:19" x14ac:dyDescent="0.3">
      <c r="A265" s="1" t="s">
        <v>573</v>
      </c>
      <c r="B265" s="2">
        <v>45931</v>
      </c>
      <c r="C265" s="1" t="str">
        <f t="shared" si="8"/>
        <v>Wed</v>
      </c>
      <c r="D265" s="1" t="str">
        <f t="shared" si="9"/>
        <v>Weekday</v>
      </c>
      <c r="E265" s="3">
        <v>0.76041666666666663</v>
      </c>
      <c r="F265" s="1" t="s">
        <v>574</v>
      </c>
      <c r="G265" s="1" t="s">
        <v>28</v>
      </c>
      <c r="H265" s="1" t="s">
        <v>41</v>
      </c>
      <c r="I265" s="1" t="s">
        <v>24</v>
      </c>
      <c r="J265" s="1" t="s">
        <v>25</v>
      </c>
      <c r="K265" s="1">
        <v>4</v>
      </c>
      <c r="L265" s="1">
        <v>38</v>
      </c>
      <c r="M265" s="1">
        <v>152</v>
      </c>
      <c r="N265" s="1">
        <v>0</v>
      </c>
      <c r="O265" s="1">
        <v>152</v>
      </c>
      <c r="P265" s="1" t="s">
        <v>1048</v>
      </c>
      <c r="Q265" s="1">
        <v>16</v>
      </c>
      <c r="R265" s="1" t="s">
        <v>20</v>
      </c>
      <c r="S265" s="1">
        <v>4</v>
      </c>
    </row>
    <row r="266" spans="1:19" x14ac:dyDescent="0.3">
      <c r="A266" s="1" t="s">
        <v>575</v>
      </c>
      <c r="B266" s="2">
        <v>45962</v>
      </c>
      <c r="C266" s="1" t="str">
        <f t="shared" si="8"/>
        <v>Sat</v>
      </c>
      <c r="D266" s="1" t="str">
        <f t="shared" si="9"/>
        <v>Weekend</v>
      </c>
      <c r="E266" s="3">
        <v>0.76041666666666663</v>
      </c>
      <c r="F266" s="1" t="s">
        <v>576</v>
      </c>
      <c r="G266" s="1" t="s">
        <v>45</v>
      </c>
      <c r="H266" s="1" t="s">
        <v>23</v>
      </c>
      <c r="I266" s="1" t="s">
        <v>87</v>
      </c>
      <c r="J266" s="1" t="s">
        <v>88</v>
      </c>
      <c r="K266" s="1">
        <v>2</v>
      </c>
      <c r="L266" s="1">
        <v>30</v>
      </c>
      <c r="M266" s="1">
        <v>60</v>
      </c>
      <c r="N266" s="1">
        <v>5</v>
      </c>
      <c r="O266" s="1">
        <v>55</v>
      </c>
      <c r="P266" s="1" t="s">
        <v>1049</v>
      </c>
      <c r="Q266" s="1">
        <v>15</v>
      </c>
      <c r="R266" s="1" t="s">
        <v>20</v>
      </c>
      <c r="S266" s="1">
        <v>4</v>
      </c>
    </row>
    <row r="267" spans="1:19" x14ac:dyDescent="0.3">
      <c r="A267" s="1" t="s">
        <v>577</v>
      </c>
      <c r="B267" s="2">
        <v>45663</v>
      </c>
      <c r="C267" s="1" t="str">
        <f t="shared" si="8"/>
        <v>Mon</v>
      </c>
      <c r="D267" s="1" t="str">
        <f t="shared" si="9"/>
        <v>Weekday</v>
      </c>
      <c r="E267" s="3">
        <v>0.4375</v>
      </c>
      <c r="F267" s="1" t="s">
        <v>578</v>
      </c>
      <c r="G267" s="1" t="s">
        <v>84</v>
      </c>
      <c r="H267" s="1" t="s">
        <v>16</v>
      </c>
      <c r="I267" s="1" t="s">
        <v>24</v>
      </c>
      <c r="J267" s="1" t="s">
        <v>25</v>
      </c>
      <c r="K267" s="1">
        <v>2</v>
      </c>
      <c r="L267" s="1">
        <v>70</v>
      </c>
      <c r="M267" s="1">
        <v>140</v>
      </c>
      <c r="N267" s="1">
        <v>0</v>
      </c>
      <c r="O267" s="1">
        <v>140</v>
      </c>
      <c r="P267" s="1" t="s">
        <v>19</v>
      </c>
      <c r="Q267" s="1">
        <v>38</v>
      </c>
      <c r="R267" s="1" t="s">
        <v>20</v>
      </c>
      <c r="S267" s="1">
        <v>4</v>
      </c>
    </row>
    <row r="268" spans="1:19" x14ac:dyDescent="0.3">
      <c r="A268" s="1" t="s">
        <v>579</v>
      </c>
      <c r="B268" s="2">
        <v>45664</v>
      </c>
      <c r="C268" s="1" t="str">
        <f t="shared" si="8"/>
        <v>Tue</v>
      </c>
      <c r="D268" s="1" t="str">
        <f t="shared" si="9"/>
        <v>Weekday</v>
      </c>
      <c r="E268" s="3">
        <v>0.76041666666666663</v>
      </c>
      <c r="F268" s="1" t="s">
        <v>580</v>
      </c>
      <c r="G268" s="1" t="s">
        <v>48</v>
      </c>
      <c r="H268" s="1" t="s">
        <v>73</v>
      </c>
      <c r="I268" s="1" t="s">
        <v>24</v>
      </c>
      <c r="J268" s="1" t="s">
        <v>25</v>
      </c>
      <c r="K268" s="1">
        <v>6</v>
      </c>
      <c r="L268" s="1">
        <v>20</v>
      </c>
      <c r="M268" s="1">
        <v>120</v>
      </c>
      <c r="N268" s="1">
        <v>0</v>
      </c>
      <c r="O268" s="1">
        <v>120</v>
      </c>
      <c r="P268" s="1" t="s">
        <v>1048</v>
      </c>
      <c r="Q268" s="1">
        <v>59</v>
      </c>
      <c r="R268" s="1" t="s">
        <v>20</v>
      </c>
      <c r="S268" s="1">
        <v>3</v>
      </c>
    </row>
    <row r="269" spans="1:19" x14ac:dyDescent="0.3">
      <c r="A269" s="1" t="s">
        <v>581</v>
      </c>
      <c r="B269" s="2">
        <v>45931</v>
      </c>
      <c r="C269" s="1" t="str">
        <f t="shared" si="8"/>
        <v>Wed</v>
      </c>
      <c r="D269" s="1" t="str">
        <f t="shared" si="9"/>
        <v>Weekday</v>
      </c>
      <c r="E269" s="3">
        <v>0.37847222222222221</v>
      </c>
      <c r="F269" s="1" t="s">
        <v>582</v>
      </c>
      <c r="G269" s="1" t="s">
        <v>45</v>
      </c>
      <c r="H269" s="1" t="s">
        <v>64</v>
      </c>
      <c r="I269" s="1" t="s">
        <v>30</v>
      </c>
      <c r="J269" s="1" t="s">
        <v>18</v>
      </c>
      <c r="K269" s="1">
        <v>1</v>
      </c>
      <c r="L269" s="1">
        <v>27</v>
      </c>
      <c r="M269" s="1">
        <v>27</v>
      </c>
      <c r="N269" s="1">
        <v>5</v>
      </c>
      <c r="O269" s="1">
        <v>22</v>
      </c>
      <c r="P269" s="1" t="s">
        <v>1048</v>
      </c>
      <c r="Q269" s="1">
        <v>24</v>
      </c>
      <c r="R269" s="1" t="s">
        <v>20</v>
      </c>
      <c r="S269" s="1">
        <v>5</v>
      </c>
    </row>
    <row r="270" spans="1:19" x14ac:dyDescent="0.3">
      <c r="A270" s="1" t="s">
        <v>583</v>
      </c>
      <c r="B270" s="2">
        <v>45659</v>
      </c>
      <c r="C270" s="1" t="str">
        <f t="shared" si="8"/>
        <v>Thu</v>
      </c>
      <c r="D270" s="1" t="str">
        <f t="shared" si="9"/>
        <v>Weekday</v>
      </c>
      <c r="E270" s="3">
        <v>0.76041666666666663</v>
      </c>
      <c r="F270" s="1" t="s">
        <v>584</v>
      </c>
      <c r="G270" s="1" t="s">
        <v>84</v>
      </c>
      <c r="H270" s="1" t="s">
        <v>23</v>
      </c>
      <c r="I270" s="1" t="s">
        <v>36</v>
      </c>
      <c r="J270" s="1" t="s">
        <v>37</v>
      </c>
      <c r="K270" s="1">
        <v>3</v>
      </c>
      <c r="L270" s="1">
        <v>78</v>
      </c>
      <c r="M270" s="1">
        <v>234</v>
      </c>
      <c r="N270" s="1">
        <v>0</v>
      </c>
      <c r="O270" s="1">
        <v>234</v>
      </c>
      <c r="P270" s="1" t="s">
        <v>38</v>
      </c>
      <c r="Q270" s="1">
        <v>38</v>
      </c>
      <c r="R270" s="1" t="s">
        <v>31</v>
      </c>
      <c r="S270" s="1">
        <v>1</v>
      </c>
    </row>
    <row r="271" spans="1:19" x14ac:dyDescent="0.3">
      <c r="A271" s="1" t="s">
        <v>585</v>
      </c>
      <c r="B271" s="2">
        <v>45748</v>
      </c>
      <c r="C271" s="1" t="str">
        <f t="shared" si="8"/>
        <v>Tue</v>
      </c>
      <c r="D271" s="1" t="str">
        <f t="shared" si="9"/>
        <v>Weekday</v>
      </c>
      <c r="E271" s="3">
        <v>0.4375</v>
      </c>
      <c r="F271" s="1" t="s">
        <v>586</v>
      </c>
      <c r="G271" s="1" t="s">
        <v>34</v>
      </c>
      <c r="H271" s="1" t="s">
        <v>29</v>
      </c>
      <c r="I271" s="1" t="s">
        <v>42</v>
      </c>
      <c r="J271" s="1" t="s">
        <v>25</v>
      </c>
      <c r="K271" s="1">
        <v>2</v>
      </c>
      <c r="L271" s="1">
        <v>94</v>
      </c>
      <c r="M271" s="1">
        <v>188</v>
      </c>
      <c r="N271" s="1">
        <v>0</v>
      </c>
      <c r="O271" s="1">
        <v>188</v>
      </c>
      <c r="P271" s="1" t="s">
        <v>1048</v>
      </c>
      <c r="Q271" s="1">
        <v>42</v>
      </c>
      <c r="R271" s="1" t="s">
        <v>20</v>
      </c>
      <c r="S271" s="1">
        <v>3</v>
      </c>
    </row>
    <row r="272" spans="1:19" x14ac:dyDescent="0.3">
      <c r="A272" s="1" t="s">
        <v>587</v>
      </c>
      <c r="B272" s="2">
        <v>45748</v>
      </c>
      <c r="C272" s="1" t="str">
        <f t="shared" si="8"/>
        <v>Tue</v>
      </c>
      <c r="D272" s="1" t="str">
        <f t="shared" si="9"/>
        <v>Weekday</v>
      </c>
      <c r="E272" s="3">
        <v>0.37847222222222221</v>
      </c>
      <c r="F272" s="1" t="s">
        <v>588</v>
      </c>
      <c r="G272" s="1" t="s">
        <v>28</v>
      </c>
      <c r="H272" s="1" t="s">
        <v>16</v>
      </c>
      <c r="I272" s="1" t="s">
        <v>99</v>
      </c>
      <c r="J272" s="1" t="s">
        <v>100</v>
      </c>
      <c r="K272" s="1">
        <v>3</v>
      </c>
      <c r="L272" s="1">
        <v>18</v>
      </c>
      <c r="M272" s="1">
        <v>54</v>
      </c>
      <c r="N272" s="1">
        <v>0</v>
      </c>
      <c r="O272" s="1">
        <v>54</v>
      </c>
      <c r="P272" s="1" t="s">
        <v>1049</v>
      </c>
      <c r="Q272" s="1">
        <v>29</v>
      </c>
      <c r="R272" s="1" t="s">
        <v>20</v>
      </c>
      <c r="S272" s="1">
        <v>2</v>
      </c>
    </row>
    <row r="273" spans="1:19" x14ac:dyDescent="0.3">
      <c r="A273" s="1" t="s">
        <v>589</v>
      </c>
      <c r="B273" s="2">
        <v>45931</v>
      </c>
      <c r="C273" s="1" t="str">
        <f t="shared" si="8"/>
        <v>Wed</v>
      </c>
      <c r="D273" s="1" t="str">
        <f t="shared" si="9"/>
        <v>Weekday</v>
      </c>
      <c r="E273" s="3">
        <v>0.76041666666666663</v>
      </c>
      <c r="F273" s="1" t="s">
        <v>590</v>
      </c>
      <c r="G273" s="1" t="s">
        <v>48</v>
      </c>
      <c r="H273" s="1" t="s">
        <v>23</v>
      </c>
      <c r="I273" s="1" t="s">
        <v>87</v>
      </c>
      <c r="J273" s="1" t="s">
        <v>88</v>
      </c>
      <c r="K273" s="1">
        <v>3</v>
      </c>
      <c r="L273" s="1">
        <v>101</v>
      </c>
      <c r="M273" s="1">
        <v>303</v>
      </c>
      <c r="N273" s="1">
        <v>10</v>
      </c>
      <c r="O273" s="1">
        <v>293</v>
      </c>
      <c r="P273" s="1" t="s">
        <v>1048</v>
      </c>
      <c r="Q273" s="1">
        <v>47</v>
      </c>
      <c r="R273" s="1" t="s">
        <v>20</v>
      </c>
      <c r="S273" s="1">
        <v>2</v>
      </c>
    </row>
    <row r="274" spans="1:19" x14ac:dyDescent="0.3">
      <c r="A274" s="1" t="s">
        <v>591</v>
      </c>
      <c r="B274" s="2">
        <v>45901</v>
      </c>
      <c r="C274" s="1" t="str">
        <f t="shared" si="8"/>
        <v>Mon</v>
      </c>
      <c r="D274" s="1" t="str">
        <f t="shared" si="9"/>
        <v>Weekday</v>
      </c>
      <c r="E274" s="3">
        <v>0.76041666666666663</v>
      </c>
      <c r="F274" s="1" t="s">
        <v>592</v>
      </c>
      <c r="G274" s="1" t="s">
        <v>84</v>
      </c>
      <c r="H274" s="1" t="s">
        <v>64</v>
      </c>
      <c r="I274" s="1" t="s">
        <v>74</v>
      </c>
      <c r="J274" s="1" t="s">
        <v>75</v>
      </c>
      <c r="K274" s="1">
        <v>4</v>
      </c>
      <c r="L274" s="1">
        <v>24</v>
      </c>
      <c r="M274" s="1">
        <v>96</v>
      </c>
      <c r="N274" s="1">
        <v>0</v>
      </c>
      <c r="O274" s="1">
        <v>96</v>
      </c>
      <c r="P274" s="1" t="s">
        <v>1048</v>
      </c>
      <c r="Q274" s="1">
        <v>33</v>
      </c>
      <c r="R274" s="1" t="s">
        <v>31</v>
      </c>
      <c r="S274" s="1">
        <v>4</v>
      </c>
    </row>
    <row r="275" spans="1:19" x14ac:dyDescent="0.3">
      <c r="A275" s="1" t="s">
        <v>593</v>
      </c>
      <c r="B275" s="2">
        <v>45717</v>
      </c>
      <c r="C275" s="1" t="str">
        <f t="shared" si="8"/>
        <v>Sat</v>
      </c>
      <c r="D275" s="1" t="str">
        <f t="shared" si="9"/>
        <v>Weekend</v>
      </c>
      <c r="E275" s="3">
        <v>0.76041666666666663</v>
      </c>
      <c r="F275" s="1" t="s">
        <v>594</v>
      </c>
      <c r="G275" s="1" t="s">
        <v>28</v>
      </c>
      <c r="H275" s="1" t="s">
        <v>55</v>
      </c>
      <c r="I275" s="1" t="s">
        <v>17</v>
      </c>
      <c r="J275" s="1" t="s">
        <v>18</v>
      </c>
      <c r="K275" s="1">
        <v>5</v>
      </c>
      <c r="L275" s="1">
        <v>86</v>
      </c>
      <c r="M275" s="1">
        <v>440</v>
      </c>
      <c r="N275" s="1">
        <v>5</v>
      </c>
      <c r="O275" s="1">
        <v>425</v>
      </c>
      <c r="P275" s="1" t="s">
        <v>1049</v>
      </c>
      <c r="Q275" s="1">
        <v>58</v>
      </c>
      <c r="R275" s="1" t="s">
        <v>31</v>
      </c>
      <c r="S275" s="1">
        <v>3</v>
      </c>
    </row>
    <row r="276" spans="1:19" x14ac:dyDescent="0.3">
      <c r="A276" s="1" t="s">
        <v>595</v>
      </c>
      <c r="B276" s="2">
        <v>45717</v>
      </c>
      <c r="C276" s="1" t="str">
        <f t="shared" si="8"/>
        <v>Sat</v>
      </c>
      <c r="D276" s="1" t="str">
        <f t="shared" si="9"/>
        <v>Weekend</v>
      </c>
      <c r="E276" s="3">
        <v>0.4375</v>
      </c>
      <c r="F276" s="1" t="s">
        <v>596</v>
      </c>
      <c r="G276" s="1" t="s">
        <v>34</v>
      </c>
      <c r="H276" s="1" t="s">
        <v>16</v>
      </c>
      <c r="I276" s="1" t="s">
        <v>74</v>
      </c>
      <c r="J276" s="1" t="s">
        <v>75</v>
      </c>
      <c r="K276" s="1">
        <v>6</v>
      </c>
      <c r="L276" s="1">
        <v>33</v>
      </c>
      <c r="M276" s="1">
        <v>198</v>
      </c>
      <c r="N276" s="1">
        <v>5</v>
      </c>
      <c r="O276" s="1">
        <v>193</v>
      </c>
      <c r="P276" s="1" t="s">
        <v>1048</v>
      </c>
      <c r="Q276" s="1">
        <v>28</v>
      </c>
      <c r="R276" s="1" t="s">
        <v>20</v>
      </c>
      <c r="S276" s="1">
        <v>5</v>
      </c>
    </row>
    <row r="277" spans="1:19" x14ac:dyDescent="0.3">
      <c r="A277" s="1" t="s">
        <v>597</v>
      </c>
      <c r="B277" s="2">
        <v>45662</v>
      </c>
      <c r="C277" s="1" t="str">
        <f t="shared" si="8"/>
        <v>Sun</v>
      </c>
      <c r="D277" s="1" t="str">
        <f t="shared" si="9"/>
        <v>Weekend</v>
      </c>
      <c r="E277" s="3">
        <v>0.76041666666666663</v>
      </c>
      <c r="F277" s="1" t="s">
        <v>598</v>
      </c>
      <c r="G277" s="1" t="s">
        <v>45</v>
      </c>
      <c r="H277" s="1" t="s">
        <v>35</v>
      </c>
      <c r="I277" s="1" t="s">
        <v>24</v>
      </c>
      <c r="J277" s="1" t="s">
        <v>25</v>
      </c>
      <c r="K277" s="1">
        <v>6</v>
      </c>
      <c r="L277" s="1">
        <v>11</v>
      </c>
      <c r="M277" s="1">
        <v>66</v>
      </c>
      <c r="N277" s="1">
        <v>0</v>
      </c>
      <c r="O277" s="1">
        <v>66</v>
      </c>
      <c r="P277" s="1" t="s">
        <v>38</v>
      </c>
      <c r="Q277" s="1">
        <v>38</v>
      </c>
      <c r="R277" s="1" t="s">
        <v>20</v>
      </c>
      <c r="S277" s="1"/>
    </row>
    <row r="278" spans="1:19" x14ac:dyDescent="0.3">
      <c r="A278" s="1" t="s">
        <v>599</v>
      </c>
      <c r="B278" s="2">
        <v>45664</v>
      </c>
      <c r="C278" s="1" t="str">
        <f t="shared" si="8"/>
        <v>Tue</v>
      </c>
      <c r="D278" s="1" t="str">
        <f t="shared" si="9"/>
        <v>Weekday</v>
      </c>
      <c r="E278" s="3">
        <v>0.78125</v>
      </c>
      <c r="F278" s="1" t="s">
        <v>600</v>
      </c>
      <c r="G278" s="1" t="s">
        <v>84</v>
      </c>
      <c r="H278" s="1" t="s">
        <v>55</v>
      </c>
      <c r="I278" s="1" t="s">
        <v>30</v>
      </c>
      <c r="J278" s="1" t="s">
        <v>18</v>
      </c>
      <c r="K278" s="1">
        <v>5</v>
      </c>
      <c r="L278" s="1">
        <v>46</v>
      </c>
      <c r="M278" s="1">
        <v>230</v>
      </c>
      <c r="N278" s="1">
        <v>0</v>
      </c>
      <c r="O278" s="1">
        <v>230</v>
      </c>
      <c r="P278" s="1" t="s">
        <v>19</v>
      </c>
      <c r="Q278" s="1">
        <v>51</v>
      </c>
      <c r="R278" s="1" t="s">
        <v>20</v>
      </c>
      <c r="S278" s="1"/>
    </row>
    <row r="279" spans="1:19" x14ac:dyDescent="0.3">
      <c r="A279" s="1" t="s">
        <v>601</v>
      </c>
      <c r="B279" s="2">
        <v>45931</v>
      </c>
      <c r="C279" s="1" t="str">
        <f t="shared" si="8"/>
        <v>Wed</v>
      </c>
      <c r="D279" s="1" t="str">
        <f t="shared" si="9"/>
        <v>Weekday</v>
      </c>
      <c r="E279" s="3">
        <v>0.78125</v>
      </c>
      <c r="F279" s="1" t="s">
        <v>602</v>
      </c>
      <c r="G279" s="1" t="s">
        <v>84</v>
      </c>
      <c r="H279" s="1" t="s">
        <v>16</v>
      </c>
      <c r="I279" s="1" t="s">
        <v>51</v>
      </c>
      <c r="J279" s="1" t="s">
        <v>18</v>
      </c>
      <c r="K279" s="1">
        <v>4</v>
      </c>
      <c r="L279" s="1">
        <v>102</v>
      </c>
      <c r="M279" s="1">
        <v>408</v>
      </c>
      <c r="N279" s="1">
        <v>0</v>
      </c>
      <c r="O279" s="1">
        <v>408</v>
      </c>
      <c r="P279" s="1" t="s">
        <v>1048</v>
      </c>
      <c r="Q279" s="1">
        <v>43</v>
      </c>
      <c r="R279" s="1" t="s">
        <v>20</v>
      </c>
      <c r="S279" s="1">
        <v>2</v>
      </c>
    </row>
    <row r="280" spans="1:19" x14ac:dyDescent="0.3">
      <c r="A280" s="1" t="s">
        <v>603</v>
      </c>
      <c r="B280" s="2">
        <v>45663</v>
      </c>
      <c r="C280" s="1" t="str">
        <f t="shared" si="8"/>
        <v>Mon</v>
      </c>
      <c r="D280" s="1" t="str">
        <f t="shared" si="9"/>
        <v>Weekday</v>
      </c>
      <c r="E280" s="3">
        <v>0.76041666666666663</v>
      </c>
      <c r="F280" s="1" t="s">
        <v>604</v>
      </c>
      <c r="G280" s="1" t="s">
        <v>34</v>
      </c>
      <c r="H280" s="1" t="s">
        <v>55</v>
      </c>
      <c r="I280" s="1" t="s">
        <v>87</v>
      </c>
      <c r="J280" s="1" t="s">
        <v>88</v>
      </c>
      <c r="K280" s="1">
        <v>2</v>
      </c>
      <c r="L280" s="1">
        <v>63</v>
      </c>
      <c r="M280" s="1">
        <v>126</v>
      </c>
      <c r="N280" s="1">
        <v>0</v>
      </c>
      <c r="O280" s="1">
        <v>126</v>
      </c>
      <c r="P280" s="1" t="s">
        <v>19</v>
      </c>
      <c r="Q280" s="1">
        <v>14</v>
      </c>
      <c r="R280" s="1" t="s">
        <v>20</v>
      </c>
      <c r="S280" s="1">
        <v>5</v>
      </c>
    </row>
    <row r="281" spans="1:19" x14ac:dyDescent="0.3">
      <c r="A281" s="1" t="s">
        <v>605</v>
      </c>
      <c r="B281" s="2">
        <v>45658</v>
      </c>
      <c r="C281" s="1" t="str">
        <f t="shared" si="8"/>
        <v>Wed</v>
      </c>
      <c r="D281" s="1" t="str">
        <f t="shared" si="9"/>
        <v>Weekday</v>
      </c>
      <c r="E281" s="3">
        <v>0.76041666666666663</v>
      </c>
      <c r="F281" s="1" t="s">
        <v>606</v>
      </c>
      <c r="G281" s="1" t="s">
        <v>28</v>
      </c>
      <c r="H281" s="1" t="s">
        <v>16</v>
      </c>
      <c r="I281" s="1" t="s">
        <v>24</v>
      </c>
      <c r="J281" s="1" t="s">
        <v>25</v>
      </c>
      <c r="K281" s="1">
        <v>6</v>
      </c>
      <c r="L281" s="1">
        <v>14</v>
      </c>
      <c r="M281" s="1">
        <v>84</v>
      </c>
      <c r="N281" s="1">
        <v>0</v>
      </c>
      <c r="O281" s="1">
        <v>84</v>
      </c>
      <c r="P281" s="1" t="s">
        <v>1048</v>
      </c>
      <c r="Q281" s="1">
        <v>28</v>
      </c>
      <c r="R281" s="1" t="s">
        <v>20</v>
      </c>
      <c r="S281" s="1">
        <v>2</v>
      </c>
    </row>
    <row r="282" spans="1:19" x14ac:dyDescent="0.3">
      <c r="A282" s="1" t="s">
        <v>607</v>
      </c>
      <c r="B282" s="2">
        <v>45962</v>
      </c>
      <c r="C282" s="1" t="str">
        <f t="shared" si="8"/>
        <v>Sat</v>
      </c>
      <c r="D282" s="1" t="str">
        <f t="shared" si="9"/>
        <v>Weekend</v>
      </c>
      <c r="E282" s="3">
        <v>0.76041666666666663</v>
      </c>
      <c r="F282" s="1" t="s">
        <v>608</v>
      </c>
      <c r="G282" s="1" t="s">
        <v>28</v>
      </c>
      <c r="H282" s="1" t="s">
        <v>64</v>
      </c>
      <c r="I282" s="1" t="s">
        <v>51</v>
      </c>
      <c r="J282" s="1" t="s">
        <v>18</v>
      </c>
      <c r="K282" s="1">
        <v>1</v>
      </c>
      <c r="L282" s="1">
        <v>33</v>
      </c>
      <c r="M282" s="1">
        <v>33</v>
      </c>
      <c r="N282" s="1">
        <v>0</v>
      </c>
      <c r="O282" s="1">
        <v>33</v>
      </c>
      <c r="P282" s="1" t="s">
        <v>1048</v>
      </c>
      <c r="Q282" s="1">
        <v>37</v>
      </c>
      <c r="R282" s="1" t="s">
        <v>20</v>
      </c>
      <c r="S282" s="1">
        <v>3</v>
      </c>
    </row>
    <row r="283" spans="1:19" x14ac:dyDescent="0.3">
      <c r="A283" s="1" t="s">
        <v>609</v>
      </c>
      <c r="B283" s="2">
        <v>45870</v>
      </c>
      <c r="C283" s="1" t="str">
        <f t="shared" si="8"/>
        <v>Fri</v>
      </c>
      <c r="D283" s="1" t="str">
        <f t="shared" si="9"/>
        <v>Weekday</v>
      </c>
      <c r="E283" s="3">
        <v>0.4375</v>
      </c>
      <c r="F283" s="1" t="s">
        <v>610</v>
      </c>
      <c r="G283" s="1" t="s">
        <v>34</v>
      </c>
      <c r="H283" s="1" t="s">
        <v>16</v>
      </c>
      <c r="I283" s="1" t="s">
        <v>17</v>
      </c>
      <c r="J283" s="1" t="s">
        <v>18</v>
      </c>
      <c r="K283" s="1">
        <v>3</v>
      </c>
      <c r="L283" s="1">
        <v>95</v>
      </c>
      <c r="M283" s="1">
        <v>285</v>
      </c>
      <c r="N283" s="1">
        <v>10</v>
      </c>
      <c r="O283" s="1">
        <v>275</v>
      </c>
      <c r="P283" s="1" t="s">
        <v>1048</v>
      </c>
      <c r="Q283" s="1">
        <v>21</v>
      </c>
      <c r="R283" s="1" t="s">
        <v>31</v>
      </c>
      <c r="S283" s="1">
        <v>3</v>
      </c>
    </row>
    <row r="284" spans="1:19" x14ac:dyDescent="0.3">
      <c r="A284" s="1" t="s">
        <v>611</v>
      </c>
      <c r="B284" s="2">
        <v>45658</v>
      </c>
      <c r="C284" s="1" t="str">
        <f t="shared" si="8"/>
        <v>Wed</v>
      </c>
      <c r="D284" s="1" t="str">
        <f t="shared" si="9"/>
        <v>Weekday</v>
      </c>
      <c r="E284" s="3">
        <v>0.78125</v>
      </c>
      <c r="F284" s="1" t="s">
        <v>612</v>
      </c>
      <c r="G284" s="1" t="s">
        <v>84</v>
      </c>
      <c r="H284" s="1" t="s">
        <v>55</v>
      </c>
      <c r="I284" s="1" t="s">
        <v>17</v>
      </c>
      <c r="J284" s="1" t="s">
        <v>18</v>
      </c>
      <c r="K284" s="1">
        <v>4</v>
      </c>
      <c r="L284" s="1">
        <v>14</v>
      </c>
      <c r="M284" s="1">
        <v>66</v>
      </c>
      <c r="N284" s="1">
        <v>0</v>
      </c>
      <c r="O284" s="1">
        <v>56</v>
      </c>
      <c r="P284" s="1" t="s">
        <v>1048</v>
      </c>
      <c r="Q284" s="1">
        <v>35</v>
      </c>
      <c r="R284" s="1" t="s">
        <v>20</v>
      </c>
      <c r="S284" s="1">
        <v>4</v>
      </c>
    </row>
    <row r="285" spans="1:19" x14ac:dyDescent="0.3">
      <c r="A285" s="1" t="s">
        <v>613</v>
      </c>
      <c r="B285" s="2">
        <v>45667</v>
      </c>
      <c r="C285" s="1" t="str">
        <f t="shared" si="8"/>
        <v>Fri</v>
      </c>
      <c r="D285" s="1" t="str">
        <f t="shared" si="9"/>
        <v>Weekday</v>
      </c>
      <c r="E285" s="3">
        <v>0.76041666666666663</v>
      </c>
      <c r="F285" s="1" t="s">
        <v>614</v>
      </c>
      <c r="G285" s="1" t="s">
        <v>45</v>
      </c>
      <c r="H285" s="1" t="s">
        <v>55</v>
      </c>
      <c r="I285" s="1" t="s">
        <v>74</v>
      </c>
      <c r="J285" s="1" t="s">
        <v>75</v>
      </c>
      <c r="K285" s="1">
        <v>1</v>
      </c>
      <c r="L285" s="1">
        <v>82</v>
      </c>
      <c r="M285" s="1">
        <v>82</v>
      </c>
      <c r="N285" s="1">
        <v>5</v>
      </c>
      <c r="O285" s="1">
        <v>77</v>
      </c>
      <c r="P285" s="1" t="s">
        <v>1048</v>
      </c>
      <c r="Q285" s="1">
        <v>18</v>
      </c>
      <c r="R285" s="1" t="s">
        <v>20</v>
      </c>
      <c r="S285" s="1">
        <v>3</v>
      </c>
    </row>
    <row r="286" spans="1:19" x14ac:dyDescent="0.3">
      <c r="A286" s="1" t="s">
        <v>615</v>
      </c>
      <c r="B286" s="2">
        <v>45662</v>
      </c>
      <c r="C286" s="1" t="str">
        <f t="shared" si="8"/>
        <v>Sun</v>
      </c>
      <c r="D286" s="1" t="str">
        <f t="shared" si="9"/>
        <v>Weekend</v>
      </c>
      <c r="E286" s="3">
        <v>0.4375</v>
      </c>
      <c r="F286" s="1" t="s">
        <v>616</v>
      </c>
      <c r="G286" s="1" t="s">
        <v>1047</v>
      </c>
      <c r="H286" s="1" t="s">
        <v>35</v>
      </c>
      <c r="I286" s="1" t="s">
        <v>17</v>
      </c>
      <c r="J286" s="1" t="s">
        <v>18</v>
      </c>
      <c r="K286" s="1">
        <v>1</v>
      </c>
      <c r="L286" s="1">
        <v>49</v>
      </c>
      <c r="M286" s="1">
        <v>49</v>
      </c>
      <c r="N286" s="1">
        <v>0</v>
      </c>
      <c r="O286" s="1">
        <v>49</v>
      </c>
      <c r="P286" s="1" t="s">
        <v>38</v>
      </c>
      <c r="Q286" s="1">
        <v>38</v>
      </c>
      <c r="R286" s="1" t="s">
        <v>31</v>
      </c>
      <c r="S286" s="1">
        <v>2</v>
      </c>
    </row>
    <row r="287" spans="1:19" x14ac:dyDescent="0.3">
      <c r="A287" s="1" t="s">
        <v>617</v>
      </c>
      <c r="B287" s="2">
        <v>45778</v>
      </c>
      <c r="C287" s="1" t="str">
        <f t="shared" si="8"/>
        <v>Thu</v>
      </c>
      <c r="D287" s="1" t="str">
        <f t="shared" si="9"/>
        <v>Weekday</v>
      </c>
      <c r="E287" s="3">
        <v>0.78125</v>
      </c>
      <c r="F287" s="1" t="s">
        <v>618</v>
      </c>
      <c r="G287" s="1" t="s">
        <v>54</v>
      </c>
      <c r="H287" s="1" t="s">
        <v>16</v>
      </c>
      <c r="I287" s="1" t="s">
        <v>42</v>
      </c>
      <c r="J287" s="1" t="s">
        <v>25</v>
      </c>
      <c r="K287" s="1">
        <v>2</v>
      </c>
      <c r="L287" s="1">
        <v>56</v>
      </c>
      <c r="M287" s="1">
        <v>112</v>
      </c>
      <c r="N287" s="1">
        <v>5</v>
      </c>
      <c r="O287" s="1">
        <v>107</v>
      </c>
      <c r="P287" s="1" t="s">
        <v>38</v>
      </c>
      <c r="Q287" s="1">
        <v>39</v>
      </c>
      <c r="R287" s="1" t="s">
        <v>31</v>
      </c>
      <c r="S287" s="1">
        <v>3</v>
      </c>
    </row>
    <row r="288" spans="1:19" x14ac:dyDescent="0.3">
      <c r="A288" s="1" t="s">
        <v>619</v>
      </c>
      <c r="B288" s="2">
        <v>45778</v>
      </c>
      <c r="C288" s="1" t="str">
        <f t="shared" si="8"/>
        <v>Thu</v>
      </c>
      <c r="D288" s="1" t="str">
        <f t="shared" si="9"/>
        <v>Weekday</v>
      </c>
      <c r="E288" s="3">
        <v>0.76041666666666663</v>
      </c>
      <c r="F288" s="1" t="s">
        <v>620</v>
      </c>
      <c r="G288" s="1" t="s">
        <v>54</v>
      </c>
      <c r="H288" s="1" t="s">
        <v>41</v>
      </c>
      <c r="I288" s="1" t="s">
        <v>24</v>
      </c>
      <c r="J288" s="1" t="s">
        <v>25</v>
      </c>
      <c r="K288" s="1">
        <v>2</v>
      </c>
      <c r="L288" s="1">
        <v>68</v>
      </c>
      <c r="M288" s="1">
        <v>136</v>
      </c>
      <c r="N288" s="1">
        <v>0</v>
      </c>
      <c r="O288" s="1">
        <v>136</v>
      </c>
      <c r="P288" s="1" t="s">
        <v>1049</v>
      </c>
      <c r="Q288" s="1">
        <v>23</v>
      </c>
      <c r="R288" s="1" t="s">
        <v>20</v>
      </c>
      <c r="S288" s="1">
        <v>1</v>
      </c>
    </row>
    <row r="289" spans="1:19" x14ac:dyDescent="0.3">
      <c r="A289" s="1" t="s">
        <v>621</v>
      </c>
      <c r="B289" s="2">
        <v>45870</v>
      </c>
      <c r="C289" s="1" t="str">
        <f t="shared" si="8"/>
        <v>Fri</v>
      </c>
      <c r="D289" s="1" t="str">
        <f t="shared" si="9"/>
        <v>Weekday</v>
      </c>
      <c r="E289" s="3">
        <v>0.78125</v>
      </c>
      <c r="F289" s="1" t="s">
        <v>622</v>
      </c>
      <c r="G289" s="1" t="s">
        <v>48</v>
      </c>
      <c r="H289" s="1" t="s">
        <v>29</v>
      </c>
      <c r="I289" s="1" t="s">
        <v>17</v>
      </c>
      <c r="J289" s="1" t="s">
        <v>18</v>
      </c>
      <c r="K289" s="1">
        <v>4</v>
      </c>
      <c r="L289" s="1">
        <v>79</v>
      </c>
      <c r="M289" s="1">
        <v>316</v>
      </c>
      <c r="N289" s="1">
        <v>0</v>
      </c>
      <c r="O289" s="1">
        <v>316</v>
      </c>
      <c r="P289" s="1" t="s">
        <v>38</v>
      </c>
      <c r="Q289" s="1">
        <v>29</v>
      </c>
      <c r="R289" s="1" t="s">
        <v>31</v>
      </c>
      <c r="S289" s="1">
        <v>3</v>
      </c>
    </row>
    <row r="290" spans="1:19" x14ac:dyDescent="0.3">
      <c r="A290" s="1" t="s">
        <v>623</v>
      </c>
      <c r="B290" s="2">
        <v>45665</v>
      </c>
      <c r="C290" s="1" t="str">
        <f t="shared" si="8"/>
        <v>Wed</v>
      </c>
      <c r="D290" s="1" t="str">
        <f t="shared" si="9"/>
        <v>Weekday</v>
      </c>
      <c r="E290" s="3">
        <v>0.37847222222222221</v>
      </c>
      <c r="F290" s="1" t="s">
        <v>624</v>
      </c>
      <c r="G290" s="1" t="s">
        <v>48</v>
      </c>
      <c r="H290" s="1" t="s">
        <v>41</v>
      </c>
      <c r="I290" s="1" t="s">
        <v>99</v>
      </c>
      <c r="J290" s="1" t="s">
        <v>100</v>
      </c>
      <c r="K290" s="1">
        <v>2</v>
      </c>
      <c r="L290" s="1">
        <v>33</v>
      </c>
      <c r="M290" s="1">
        <v>66</v>
      </c>
      <c r="N290" s="1">
        <v>0</v>
      </c>
      <c r="O290" s="1">
        <v>66</v>
      </c>
      <c r="P290" s="1" t="s">
        <v>1049</v>
      </c>
      <c r="Q290" s="1">
        <v>11</v>
      </c>
      <c r="R290" s="1" t="s">
        <v>20</v>
      </c>
      <c r="S290" s="1">
        <v>3</v>
      </c>
    </row>
    <row r="291" spans="1:19" x14ac:dyDescent="0.3">
      <c r="A291" s="1" t="s">
        <v>625</v>
      </c>
      <c r="B291" s="2">
        <v>45659</v>
      </c>
      <c r="C291" s="1" t="str">
        <f t="shared" si="8"/>
        <v>Thu</v>
      </c>
      <c r="D291" s="1" t="str">
        <f t="shared" si="9"/>
        <v>Weekday</v>
      </c>
      <c r="E291" s="3">
        <v>0.4375</v>
      </c>
      <c r="F291" s="1" t="s">
        <v>626</v>
      </c>
      <c r="G291" s="1" t="s">
        <v>84</v>
      </c>
      <c r="H291" s="1" t="s">
        <v>41</v>
      </c>
      <c r="I291" s="1" t="s">
        <v>36</v>
      </c>
      <c r="J291" s="1" t="s">
        <v>37</v>
      </c>
      <c r="K291" s="1">
        <v>2</v>
      </c>
      <c r="L291" s="1">
        <v>31</v>
      </c>
      <c r="M291" s="1">
        <v>62</v>
      </c>
      <c r="N291" s="1">
        <v>5</v>
      </c>
      <c r="O291" s="1">
        <v>57</v>
      </c>
      <c r="P291" s="1" t="s">
        <v>1048</v>
      </c>
      <c r="Q291" s="1">
        <v>54</v>
      </c>
      <c r="R291" s="1" t="s">
        <v>20</v>
      </c>
      <c r="S291" s="1">
        <v>4</v>
      </c>
    </row>
    <row r="292" spans="1:19" x14ac:dyDescent="0.3">
      <c r="A292" s="1" t="s">
        <v>627</v>
      </c>
      <c r="B292" s="2">
        <v>45664</v>
      </c>
      <c r="C292" s="1" t="str">
        <f t="shared" si="8"/>
        <v>Tue</v>
      </c>
      <c r="D292" s="1" t="str">
        <f t="shared" si="9"/>
        <v>Weekday</v>
      </c>
      <c r="E292" s="3">
        <v>0.4375</v>
      </c>
      <c r="F292" s="1" t="s">
        <v>628</v>
      </c>
      <c r="G292" s="1" t="s">
        <v>48</v>
      </c>
      <c r="H292" s="1" t="s">
        <v>29</v>
      </c>
      <c r="I292" s="1" t="s">
        <v>87</v>
      </c>
      <c r="J292" s="1" t="s">
        <v>88</v>
      </c>
      <c r="K292" s="1">
        <v>5</v>
      </c>
      <c r="L292" s="1">
        <v>31</v>
      </c>
      <c r="M292" s="1">
        <v>155</v>
      </c>
      <c r="N292" s="1">
        <v>0</v>
      </c>
      <c r="O292" s="1">
        <v>155</v>
      </c>
      <c r="P292" s="1" t="s">
        <v>19</v>
      </c>
      <c r="Q292" s="1">
        <v>29</v>
      </c>
      <c r="R292" s="1" t="s">
        <v>20</v>
      </c>
      <c r="S292" s="1">
        <v>4</v>
      </c>
    </row>
    <row r="293" spans="1:19" x14ac:dyDescent="0.3">
      <c r="A293" s="1" t="s">
        <v>629</v>
      </c>
      <c r="B293" s="2">
        <v>45839</v>
      </c>
      <c r="C293" s="1" t="str">
        <f t="shared" si="8"/>
        <v>Tue</v>
      </c>
      <c r="D293" s="1" t="str">
        <f t="shared" si="9"/>
        <v>Weekday</v>
      </c>
      <c r="E293" s="3">
        <v>0.4375</v>
      </c>
      <c r="F293" s="1" t="s">
        <v>630</v>
      </c>
      <c r="G293" s="1" t="s">
        <v>34</v>
      </c>
      <c r="H293" s="1" t="s">
        <v>23</v>
      </c>
      <c r="I293" s="1" t="s">
        <v>42</v>
      </c>
      <c r="J293" s="1" t="s">
        <v>25</v>
      </c>
      <c r="K293" s="1">
        <v>5</v>
      </c>
      <c r="L293" s="1">
        <v>31</v>
      </c>
      <c r="M293" s="1">
        <v>155</v>
      </c>
      <c r="N293" s="1">
        <v>5</v>
      </c>
      <c r="O293" s="1">
        <v>150</v>
      </c>
      <c r="P293" s="1" t="s">
        <v>1049</v>
      </c>
      <c r="Q293" s="1">
        <v>14</v>
      </c>
      <c r="R293" s="1" t="s">
        <v>20</v>
      </c>
      <c r="S293" s="1"/>
    </row>
    <row r="294" spans="1:19" x14ac:dyDescent="0.3">
      <c r="A294" s="1" t="s">
        <v>631</v>
      </c>
      <c r="B294" s="2">
        <v>45665</v>
      </c>
      <c r="C294" s="1" t="str">
        <f t="shared" si="8"/>
        <v>Wed</v>
      </c>
      <c r="D294" s="1" t="str">
        <f t="shared" si="9"/>
        <v>Weekday</v>
      </c>
      <c r="E294" s="3">
        <v>0.37847222222222221</v>
      </c>
      <c r="F294" s="1" t="s">
        <v>632</v>
      </c>
      <c r="G294" s="1" t="s">
        <v>48</v>
      </c>
      <c r="H294" s="1" t="s">
        <v>41</v>
      </c>
      <c r="I294" s="1" t="s">
        <v>30</v>
      </c>
      <c r="J294" s="1" t="s">
        <v>18</v>
      </c>
      <c r="K294" s="1">
        <v>2</v>
      </c>
      <c r="L294" s="1">
        <v>11</v>
      </c>
      <c r="M294" s="1">
        <v>22</v>
      </c>
      <c r="N294" s="1">
        <v>10</v>
      </c>
      <c r="O294" s="1">
        <v>12</v>
      </c>
      <c r="P294" s="1" t="s">
        <v>1049</v>
      </c>
      <c r="Q294" s="1">
        <v>59</v>
      </c>
      <c r="R294" s="1" t="s">
        <v>20</v>
      </c>
      <c r="S294" s="1">
        <v>1</v>
      </c>
    </row>
    <row r="295" spans="1:19" x14ac:dyDescent="0.3">
      <c r="A295" s="1" t="s">
        <v>633</v>
      </c>
      <c r="B295" s="2">
        <v>45662</v>
      </c>
      <c r="C295" s="1" t="str">
        <f t="shared" si="8"/>
        <v>Sun</v>
      </c>
      <c r="D295" s="1" t="str">
        <f t="shared" si="9"/>
        <v>Weekend</v>
      </c>
      <c r="E295" s="3">
        <v>0.37847222222222221</v>
      </c>
      <c r="F295" s="1" t="s">
        <v>634</v>
      </c>
      <c r="G295" s="1" t="s">
        <v>48</v>
      </c>
      <c r="H295" s="1" t="s">
        <v>41</v>
      </c>
      <c r="I295" s="1" t="s">
        <v>51</v>
      </c>
      <c r="J295" s="1" t="s">
        <v>18</v>
      </c>
      <c r="K295" s="1">
        <v>6</v>
      </c>
      <c r="L295" s="1">
        <v>16</v>
      </c>
      <c r="M295" s="1">
        <v>96</v>
      </c>
      <c r="N295" s="1">
        <v>10</v>
      </c>
      <c r="O295" s="1">
        <v>86</v>
      </c>
      <c r="P295" s="1" t="s">
        <v>1048</v>
      </c>
      <c r="Q295" s="1">
        <v>59</v>
      </c>
      <c r="R295" s="1" t="s">
        <v>31</v>
      </c>
      <c r="S295" s="1">
        <v>2</v>
      </c>
    </row>
    <row r="296" spans="1:19" x14ac:dyDescent="0.3">
      <c r="A296" s="1" t="s">
        <v>635</v>
      </c>
      <c r="B296" s="2">
        <v>45778</v>
      </c>
      <c r="C296" s="1" t="str">
        <f t="shared" si="8"/>
        <v>Thu</v>
      </c>
      <c r="D296" s="1" t="str">
        <f t="shared" si="9"/>
        <v>Weekday</v>
      </c>
      <c r="E296" s="3">
        <v>0.4375</v>
      </c>
      <c r="F296" s="1" t="s">
        <v>636</v>
      </c>
      <c r="G296" s="1" t="s">
        <v>28</v>
      </c>
      <c r="H296" s="1" t="s">
        <v>16</v>
      </c>
      <c r="I296" s="1" t="s">
        <v>87</v>
      </c>
      <c r="J296" s="1" t="s">
        <v>88</v>
      </c>
      <c r="K296" s="1">
        <v>4</v>
      </c>
      <c r="L296" s="1">
        <v>46</v>
      </c>
      <c r="M296" s="1">
        <v>184</v>
      </c>
      <c r="N296" s="1">
        <v>10</v>
      </c>
      <c r="O296" s="1">
        <v>174</v>
      </c>
      <c r="P296" s="1" t="s">
        <v>1048</v>
      </c>
      <c r="Q296" s="1">
        <v>21</v>
      </c>
      <c r="R296" s="1" t="s">
        <v>20</v>
      </c>
      <c r="S296" s="1">
        <v>5</v>
      </c>
    </row>
    <row r="297" spans="1:19" x14ac:dyDescent="0.3">
      <c r="A297" s="1" t="s">
        <v>637</v>
      </c>
      <c r="B297" s="2">
        <v>45962</v>
      </c>
      <c r="C297" s="1" t="str">
        <f t="shared" si="8"/>
        <v>Sat</v>
      </c>
      <c r="D297" s="1" t="str">
        <f t="shared" si="9"/>
        <v>Weekend</v>
      </c>
      <c r="E297" s="3">
        <v>0.4375</v>
      </c>
      <c r="F297" s="1" t="s">
        <v>638</v>
      </c>
      <c r="G297" s="1" t="s">
        <v>45</v>
      </c>
      <c r="H297" s="1" t="s">
        <v>35</v>
      </c>
      <c r="I297" s="1" t="s">
        <v>99</v>
      </c>
      <c r="J297" s="1" t="s">
        <v>100</v>
      </c>
      <c r="K297" s="1">
        <v>3</v>
      </c>
      <c r="L297" s="1">
        <v>92</v>
      </c>
      <c r="M297" s="1">
        <v>276</v>
      </c>
      <c r="N297" s="1">
        <v>5</v>
      </c>
      <c r="O297" s="1">
        <v>271</v>
      </c>
      <c r="P297" s="1" t="s">
        <v>1049</v>
      </c>
      <c r="Q297" s="1">
        <v>44</v>
      </c>
      <c r="R297" s="1" t="s">
        <v>20</v>
      </c>
      <c r="S297" s="1">
        <v>4</v>
      </c>
    </row>
    <row r="298" spans="1:19" x14ac:dyDescent="0.3">
      <c r="A298" s="1" t="s">
        <v>639</v>
      </c>
      <c r="B298" s="2">
        <v>45689</v>
      </c>
      <c r="C298" s="1" t="str">
        <f t="shared" si="8"/>
        <v>Sat</v>
      </c>
      <c r="D298" s="1" t="str">
        <f t="shared" si="9"/>
        <v>Weekend</v>
      </c>
      <c r="E298" s="3">
        <v>0.76041666666666663</v>
      </c>
      <c r="F298" s="1" t="s">
        <v>640</v>
      </c>
      <c r="G298" s="1" t="s">
        <v>54</v>
      </c>
      <c r="H298" s="1" t="s">
        <v>23</v>
      </c>
      <c r="I298" s="1" t="s">
        <v>24</v>
      </c>
      <c r="J298" s="1" t="s">
        <v>25</v>
      </c>
      <c r="K298" s="1">
        <v>4</v>
      </c>
      <c r="L298" s="1">
        <v>104</v>
      </c>
      <c r="M298" s="1">
        <v>416</v>
      </c>
      <c r="N298" s="1">
        <v>0</v>
      </c>
      <c r="O298" s="1">
        <v>416</v>
      </c>
      <c r="P298" s="1" t="s">
        <v>1048</v>
      </c>
      <c r="Q298" s="1">
        <v>37</v>
      </c>
      <c r="R298" s="1" t="s">
        <v>20</v>
      </c>
      <c r="S298" s="1">
        <v>2</v>
      </c>
    </row>
    <row r="299" spans="1:19" x14ac:dyDescent="0.3">
      <c r="A299" s="1" t="s">
        <v>641</v>
      </c>
      <c r="B299" s="2">
        <v>45668</v>
      </c>
      <c r="C299" s="1" t="str">
        <f t="shared" si="8"/>
        <v>Sat</v>
      </c>
      <c r="D299" s="1" t="str">
        <f t="shared" si="9"/>
        <v>Weekend</v>
      </c>
      <c r="E299" s="3">
        <v>0.4375</v>
      </c>
      <c r="F299" s="1" t="s">
        <v>642</v>
      </c>
      <c r="G299" s="1" t="s">
        <v>45</v>
      </c>
      <c r="H299" s="1" t="s">
        <v>41</v>
      </c>
      <c r="I299" s="1" t="s">
        <v>17</v>
      </c>
      <c r="J299" s="1" t="s">
        <v>18</v>
      </c>
      <c r="K299" s="1">
        <v>6</v>
      </c>
      <c r="L299" s="1">
        <v>75</v>
      </c>
      <c r="M299" s="1">
        <v>450</v>
      </c>
      <c r="N299" s="1">
        <v>0</v>
      </c>
      <c r="O299" s="1">
        <v>450</v>
      </c>
      <c r="P299" s="1" t="s">
        <v>1049</v>
      </c>
      <c r="Q299" s="1">
        <v>13</v>
      </c>
      <c r="R299" s="1" t="s">
        <v>31</v>
      </c>
      <c r="S299" s="1">
        <v>4</v>
      </c>
    </row>
    <row r="300" spans="1:19" x14ac:dyDescent="0.3">
      <c r="A300" s="1" t="s">
        <v>643</v>
      </c>
      <c r="B300" s="2">
        <v>45658</v>
      </c>
      <c r="C300" s="1" t="str">
        <f t="shared" si="8"/>
        <v>Wed</v>
      </c>
      <c r="D300" s="1" t="str">
        <f t="shared" si="9"/>
        <v>Weekday</v>
      </c>
      <c r="E300" s="3">
        <v>0.37847222222222221</v>
      </c>
      <c r="F300" s="1" t="s">
        <v>644</v>
      </c>
      <c r="G300" s="1" t="s">
        <v>54</v>
      </c>
      <c r="H300" s="1" t="s">
        <v>23</v>
      </c>
      <c r="I300" s="1" t="s">
        <v>51</v>
      </c>
      <c r="J300" s="1" t="s">
        <v>18</v>
      </c>
      <c r="K300" s="1">
        <v>1</v>
      </c>
      <c r="L300" s="1">
        <v>113</v>
      </c>
      <c r="M300" s="1">
        <v>113</v>
      </c>
      <c r="N300" s="1">
        <v>5</v>
      </c>
      <c r="O300" s="1">
        <v>108</v>
      </c>
      <c r="P300" s="1" t="s">
        <v>1048</v>
      </c>
      <c r="Q300" s="1">
        <v>46</v>
      </c>
      <c r="R300" s="1" t="s">
        <v>20</v>
      </c>
      <c r="S300" s="1">
        <v>4</v>
      </c>
    </row>
    <row r="301" spans="1:19" x14ac:dyDescent="0.3">
      <c r="A301" s="1" t="s">
        <v>645</v>
      </c>
      <c r="B301" s="2">
        <v>45658</v>
      </c>
      <c r="C301" s="1" t="str">
        <f t="shared" si="8"/>
        <v>Wed</v>
      </c>
      <c r="D301" s="1" t="str">
        <f t="shared" si="9"/>
        <v>Weekday</v>
      </c>
      <c r="E301" s="3">
        <v>0.37847222222222221</v>
      </c>
      <c r="F301" s="1" t="s">
        <v>646</v>
      </c>
      <c r="G301" s="1" t="s">
        <v>54</v>
      </c>
      <c r="H301" s="1" t="s">
        <v>64</v>
      </c>
      <c r="I301" s="1" t="s">
        <v>36</v>
      </c>
      <c r="J301" s="1" t="s">
        <v>37</v>
      </c>
      <c r="K301" s="1">
        <v>6</v>
      </c>
      <c r="L301" s="1">
        <v>80</v>
      </c>
      <c r="M301" s="1">
        <v>480</v>
      </c>
      <c r="N301" s="1">
        <v>0</v>
      </c>
      <c r="O301" s="1">
        <v>480</v>
      </c>
      <c r="P301" s="1" t="s">
        <v>38</v>
      </c>
      <c r="Q301" s="1">
        <v>34</v>
      </c>
      <c r="R301" s="1" t="s">
        <v>20</v>
      </c>
      <c r="S301" s="1">
        <v>5</v>
      </c>
    </row>
    <row r="302" spans="1:19" x14ac:dyDescent="0.3">
      <c r="A302" s="1" t="s">
        <v>647</v>
      </c>
      <c r="B302" s="2">
        <v>45666</v>
      </c>
      <c r="C302" s="1" t="str">
        <f t="shared" si="8"/>
        <v>Thu</v>
      </c>
      <c r="D302" s="1" t="str">
        <f t="shared" si="9"/>
        <v>Weekday</v>
      </c>
      <c r="E302" s="3">
        <v>0.78125</v>
      </c>
      <c r="F302" s="1" t="s">
        <v>648</v>
      </c>
      <c r="G302" s="1" t="s">
        <v>48</v>
      </c>
      <c r="H302" s="1" t="s">
        <v>73</v>
      </c>
      <c r="I302" s="1" t="s">
        <v>42</v>
      </c>
      <c r="J302" s="1" t="s">
        <v>25</v>
      </c>
      <c r="K302" s="1">
        <v>4</v>
      </c>
      <c r="L302" s="1">
        <v>108</v>
      </c>
      <c r="M302" s="1">
        <v>432</v>
      </c>
      <c r="N302" s="1">
        <v>0</v>
      </c>
      <c r="O302" s="1">
        <v>432</v>
      </c>
      <c r="P302" s="1" t="s">
        <v>1048</v>
      </c>
      <c r="Q302" s="1">
        <v>29</v>
      </c>
      <c r="R302" s="1" t="s">
        <v>20</v>
      </c>
      <c r="S302" s="1"/>
    </row>
    <row r="303" spans="1:19" x14ac:dyDescent="0.3">
      <c r="A303" s="1" t="s">
        <v>649</v>
      </c>
      <c r="B303" s="2">
        <v>45839</v>
      </c>
      <c r="C303" s="1" t="str">
        <f t="shared" si="8"/>
        <v>Tue</v>
      </c>
      <c r="D303" s="1" t="str">
        <f t="shared" si="9"/>
        <v>Weekday</v>
      </c>
      <c r="E303" s="3">
        <v>0.76041666666666663</v>
      </c>
      <c r="F303" s="1" t="s">
        <v>650</v>
      </c>
      <c r="G303" s="1" t="s">
        <v>28</v>
      </c>
      <c r="H303" s="1" t="s">
        <v>73</v>
      </c>
      <c r="I303" s="1" t="s">
        <v>87</v>
      </c>
      <c r="J303" s="1" t="s">
        <v>88</v>
      </c>
      <c r="K303" s="1">
        <v>3</v>
      </c>
      <c r="L303" s="1">
        <v>21</v>
      </c>
      <c r="M303" s="1">
        <v>63</v>
      </c>
      <c r="N303" s="1">
        <v>0</v>
      </c>
      <c r="O303" s="1">
        <v>63</v>
      </c>
      <c r="P303" s="1" t="s">
        <v>1049</v>
      </c>
      <c r="Q303" s="1">
        <v>44</v>
      </c>
      <c r="R303" s="1" t="s">
        <v>20</v>
      </c>
      <c r="S303" s="1">
        <v>5</v>
      </c>
    </row>
    <row r="304" spans="1:19" x14ac:dyDescent="0.3">
      <c r="A304" s="1" t="s">
        <v>651</v>
      </c>
      <c r="B304" s="2">
        <v>45658</v>
      </c>
      <c r="C304" s="1" t="str">
        <f t="shared" si="8"/>
        <v>Wed</v>
      </c>
      <c r="D304" s="1" t="str">
        <f t="shared" si="9"/>
        <v>Weekday</v>
      </c>
      <c r="E304" s="3">
        <v>0.76041666666666663</v>
      </c>
      <c r="F304" s="1" t="s">
        <v>652</v>
      </c>
      <c r="G304" s="1" t="s">
        <v>28</v>
      </c>
      <c r="H304" s="1" t="s">
        <v>55</v>
      </c>
      <c r="I304" s="1" t="s">
        <v>87</v>
      </c>
      <c r="J304" s="1" t="s">
        <v>88</v>
      </c>
      <c r="K304" s="1">
        <v>2</v>
      </c>
      <c r="L304" s="1">
        <v>59</v>
      </c>
      <c r="M304" s="1">
        <v>118</v>
      </c>
      <c r="N304" s="1">
        <v>10</v>
      </c>
      <c r="O304" s="1">
        <v>108</v>
      </c>
      <c r="P304" s="1" t="s">
        <v>1048</v>
      </c>
      <c r="Q304" s="1">
        <v>13</v>
      </c>
      <c r="R304" s="1" t="s">
        <v>20</v>
      </c>
      <c r="S304" s="1">
        <v>4</v>
      </c>
    </row>
    <row r="305" spans="1:19" x14ac:dyDescent="0.3">
      <c r="A305" s="1" t="s">
        <v>653</v>
      </c>
      <c r="B305" s="2">
        <v>45658</v>
      </c>
      <c r="C305" s="1" t="str">
        <f t="shared" si="8"/>
        <v>Wed</v>
      </c>
      <c r="D305" s="1" t="str">
        <f t="shared" si="9"/>
        <v>Weekday</v>
      </c>
      <c r="E305" s="3">
        <v>0.78125</v>
      </c>
      <c r="F305" s="1" t="s">
        <v>654</v>
      </c>
      <c r="G305" s="1" t="s">
        <v>1047</v>
      </c>
      <c r="H305" s="1" t="s">
        <v>55</v>
      </c>
      <c r="I305" s="1" t="s">
        <v>24</v>
      </c>
      <c r="J305" s="1" t="s">
        <v>25</v>
      </c>
      <c r="K305" s="1">
        <v>2</v>
      </c>
      <c r="L305" s="1">
        <v>28</v>
      </c>
      <c r="M305" s="1">
        <v>56</v>
      </c>
      <c r="N305" s="1">
        <v>0</v>
      </c>
      <c r="O305" s="1">
        <v>56</v>
      </c>
      <c r="P305" s="1" t="s">
        <v>38</v>
      </c>
      <c r="Q305" s="1">
        <v>14</v>
      </c>
      <c r="R305" s="1" t="s">
        <v>20</v>
      </c>
      <c r="S305" s="1">
        <v>3</v>
      </c>
    </row>
    <row r="306" spans="1:19" x14ac:dyDescent="0.3">
      <c r="A306" s="1" t="s">
        <v>655</v>
      </c>
      <c r="B306" s="2">
        <v>45839</v>
      </c>
      <c r="C306" s="1" t="str">
        <f t="shared" si="8"/>
        <v>Tue</v>
      </c>
      <c r="D306" s="1" t="str">
        <f t="shared" si="9"/>
        <v>Weekday</v>
      </c>
      <c r="E306" s="3">
        <v>0.4375</v>
      </c>
      <c r="F306" s="1" t="s">
        <v>656</v>
      </c>
      <c r="G306" s="1" t="s">
        <v>45</v>
      </c>
      <c r="H306" s="1" t="s">
        <v>55</v>
      </c>
      <c r="I306" s="1" t="s">
        <v>99</v>
      </c>
      <c r="J306" s="1" t="s">
        <v>100</v>
      </c>
      <c r="K306" s="1">
        <v>1</v>
      </c>
      <c r="L306" s="1">
        <v>71</v>
      </c>
      <c r="M306" s="1">
        <v>71</v>
      </c>
      <c r="N306" s="1">
        <v>0</v>
      </c>
      <c r="O306" s="1">
        <v>71</v>
      </c>
      <c r="P306" s="1" t="s">
        <v>1048</v>
      </c>
      <c r="Q306" s="1">
        <v>24</v>
      </c>
      <c r="R306" s="1" t="s">
        <v>31</v>
      </c>
      <c r="S306" s="1"/>
    </row>
    <row r="307" spans="1:19" x14ac:dyDescent="0.3">
      <c r="A307" s="1" t="s">
        <v>657</v>
      </c>
      <c r="B307" s="2">
        <v>45778</v>
      </c>
      <c r="C307" s="1" t="str">
        <f t="shared" si="8"/>
        <v>Thu</v>
      </c>
      <c r="D307" s="1" t="str">
        <f t="shared" si="9"/>
        <v>Weekday</v>
      </c>
      <c r="E307" s="3">
        <v>0.37847222222222221</v>
      </c>
      <c r="F307" s="1" t="s">
        <v>658</v>
      </c>
      <c r="G307" s="1" t="s">
        <v>45</v>
      </c>
      <c r="H307" s="1" t="s">
        <v>41</v>
      </c>
      <c r="I307" s="1" t="s">
        <v>24</v>
      </c>
      <c r="J307" s="1" t="s">
        <v>25</v>
      </c>
      <c r="K307" s="1">
        <v>5</v>
      </c>
      <c r="L307" s="1">
        <v>28</v>
      </c>
      <c r="M307" s="1">
        <v>140</v>
      </c>
      <c r="N307" s="1">
        <v>0</v>
      </c>
      <c r="O307" s="1">
        <v>140</v>
      </c>
      <c r="P307" s="1" t="s">
        <v>19</v>
      </c>
      <c r="Q307" s="1">
        <v>21</v>
      </c>
      <c r="R307" s="1" t="s">
        <v>31</v>
      </c>
      <c r="S307" s="1"/>
    </row>
    <row r="308" spans="1:19" x14ac:dyDescent="0.3">
      <c r="A308" s="1" t="s">
        <v>659</v>
      </c>
      <c r="B308" s="2">
        <v>45839</v>
      </c>
      <c r="C308" s="1" t="str">
        <f t="shared" si="8"/>
        <v>Tue</v>
      </c>
      <c r="D308" s="1" t="str">
        <f t="shared" si="9"/>
        <v>Weekday</v>
      </c>
      <c r="E308" s="3">
        <v>0.78125</v>
      </c>
      <c r="F308" s="1" t="s">
        <v>660</v>
      </c>
      <c r="G308" s="1" t="s">
        <v>48</v>
      </c>
      <c r="H308" s="1" t="s">
        <v>41</v>
      </c>
      <c r="I308" s="1" t="s">
        <v>99</v>
      </c>
      <c r="J308" s="1" t="s">
        <v>100</v>
      </c>
      <c r="K308" s="1">
        <v>4</v>
      </c>
      <c r="L308" s="1">
        <v>55</v>
      </c>
      <c r="M308" s="1">
        <v>220</v>
      </c>
      <c r="N308" s="1">
        <v>0</v>
      </c>
      <c r="O308" s="1">
        <v>220</v>
      </c>
      <c r="P308" s="1" t="s">
        <v>1048</v>
      </c>
      <c r="Q308" s="1">
        <v>49</v>
      </c>
      <c r="R308" s="1" t="s">
        <v>20</v>
      </c>
      <c r="S308" s="1">
        <v>3</v>
      </c>
    </row>
    <row r="309" spans="1:19" x14ac:dyDescent="0.3">
      <c r="A309" s="1" t="s">
        <v>661</v>
      </c>
      <c r="B309" s="2">
        <v>45901</v>
      </c>
      <c r="C309" s="1" t="str">
        <f t="shared" si="8"/>
        <v>Mon</v>
      </c>
      <c r="D309" s="1" t="str">
        <f t="shared" si="9"/>
        <v>Weekday</v>
      </c>
      <c r="E309" s="3">
        <v>0.78125</v>
      </c>
      <c r="F309" s="1" t="s">
        <v>662</v>
      </c>
      <c r="G309" s="1" t="s">
        <v>48</v>
      </c>
      <c r="H309" s="1" t="s">
        <v>23</v>
      </c>
      <c r="I309" s="1" t="s">
        <v>30</v>
      </c>
      <c r="J309" s="1" t="s">
        <v>18</v>
      </c>
      <c r="K309" s="1">
        <v>1</v>
      </c>
      <c r="L309" s="1">
        <v>27</v>
      </c>
      <c r="M309" s="1">
        <v>27</v>
      </c>
      <c r="N309" s="1">
        <v>5</v>
      </c>
      <c r="O309" s="1">
        <v>22</v>
      </c>
      <c r="P309" s="1" t="s">
        <v>38</v>
      </c>
      <c r="Q309" s="1">
        <v>58</v>
      </c>
      <c r="R309" s="1" t="s">
        <v>20</v>
      </c>
      <c r="S309" s="1">
        <v>1</v>
      </c>
    </row>
    <row r="310" spans="1:19" x14ac:dyDescent="0.3">
      <c r="A310" s="1" t="s">
        <v>663</v>
      </c>
      <c r="B310" s="2">
        <v>45809</v>
      </c>
      <c r="C310" s="1" t="str">
        <f t="shared" si="8"/>
        <v>Sun</v>
      </c>
      <c r="D310" s="1" t="str">
        <f t="shared" si="9"/>
        <v>Weekend</v>
      </c>
      <c r="E310" s="3">
        <v>0.4375</v>
      </c>
      <c r="F310" s="1" t="s">
        <v>664</v>
      </c>
      <c r="G310" s="1" t="s">
        <v>28</v>
      </c>
      <c r="H310" s="1" t="s">
        <v>64</v>
      </c>
      <c r="I310" s="1" t="s">
        <v>51</v>
      </c>
      <c r="J310" s="1" t="s">
        <v>18</v>
      </c>
      <c r="K310" s="1">
        <v>2</v>
      </c>
      <c r="L310" s="1">
        <v>31</v>
      </c>
      <c r="M310" s="1">
        <v>62</v>
      </c>
      <c r="N310" s="1">
        <v>10</v>
      </c>
      <c r="O310" s="1">
        <v>52</v>
      </c>
      <c r="P310" s="1" t="s">
        <v>1048</v>
      </c>
      <c r="Q310" s="1">
        <v>57</v>
      </c>
      <c r="R310" s="1" t="s">
        <v>31</v>
      </c>
      <c r="S310" s="1">
        <v>5</v>
      </c>
    </row>
    <row r="311" spans="1:19" x14ac:dyDescent="0.3">
      <c r="A311" s="1" t="s">
        <v>665</v>
      </c>
      <c r="B311" s="2">
        <v>45658</v>
      </c>
      <c r="C311" s="1" t="str">
        <f t="shared" si="8"/>
        <v>Wed</v>
      </c>
      <c r="D311" s="1" t="str">
        <f t="shared" si="9"/>
        <v>Weekday</v>
      </c>
      <c r="E311" s="3">
        <v>0.37847222222222221</v>
      </c>
      <c r="F311" s="1" t="s">
        <v>666</v>
      </c>
      <c r="G311" s="1" t="s">
        <v>1047</v>
      </c>
      <c r="H311" s="1" t="s">
        <v>16</v>
      </c>
      <c r="I311" s="1" t="s">
        <v>36</v>
      </c>
      <c r="J311" s="1" t="s">
        <v>37</v>
      </c>
      <c r="K311" s="1">
        <v>2</v>
      </c>
      <c r="L311" s="1">
        <v>14</v>
      </c>
      <c r="M311" s="1">
        <v>28</v>
      </c>
      <c r="N311" s="1">
        <v>10</v>
      </c>
      <c r="O311" s="1">
        <v>18</v>
      </c>
      <c r="P311" s="1" t="s">
        <v>1048</v>
      </c>
      <c r="Q311" s="1">
        <v>28</v>
      </c>
      <c r="R311" s="1" t="s">
        <v>20</v>
      </c>
      <c r="S311" s="1"/>
    </row>
    <row r="312" spans="1:19" x14ac:dyDescent="0.3">
      <c r="A312" s="1" t="s">
        <v>667</v>
      </c>
      <c r="B312" s="2">
        <v>45658</v>
      </c>
      <c r="C312" s="1" t="str">
        <f t="shared" si="8"/>
        <v>Wed</v>
      </c>
      <c r="D312" s="1" t="str">
        <f t="shared" si="9"/>
        <v>Weekday</v>
      </c>
      <c r="E312" s="3">
        <v>0.37847222222222221</v>
      </c>
      <c r="F312" s="1" t="s">
        <v>668</v>
      </c>
      <c r="G312" s="1" t="s">
        <v>48</v>
      </c>
      <c r="H312" s="1" t="s">
        <v>23</v>
      </c>
      <c r="I312" s="1" t="s">
        <v>51</v>
      </c>
      <c r="J312" s="1" t="s">
        <v>18</v>
      </c>
      <c r="K312" s="1">
        <v>2</v>
      </c>
      <c r="L312" s="1">
        <v>100</v>
      </c>
      <c r="M312" s="1">
        <v>200</v>
      </c>
      <c r="N312" s="1">
        <v>0</v>
      </c>
      <c r="O312" s="1">
        <v>200</v>
      </c>
      <c r="P312" s="1" t="s">
        <v>1049</v>
      </c>
      <c r="Q312" s="1">
        <v>20</v>
      </c>
      <c r="R312" s="1" t="s">
        <v>20</v>
      </c>
      <c r="S312" s="1">
        <v>4</v>
      </c>
    </row>
    <row r="313" spans="1:19" x14ac:dyDescent="0.3">
      <c r="A313" s="1" t="s">
        <v>669</v>
      </c>
      <c r="B313" s="2">
        <v>45778</v>
      </c>
      <c r="C313" s="1" t="str">
        <f t="shared" si="8"/>
        <v>Thu</v>
      </c>
      <c r="D313" s="1" t="str">
        <f t="shared" si="9"/>
        <v>Weekday</v>
      </c>
      <c r="E313" s="3">
        <v>0.37847222222222221</v>
      </c>
      <c r="F313" s="1" t="s">
        <v>670</v>
      </c>
      <c r="G313" s="1" t="s">
        <v>1047</v>
      </c>
      <c r="H313" s="1" t="s">
        <v>16</v>
      </c>
      <c r="I313" s="1" t="s">
        <v>24</v>
      </c>
      <c r="J313" s="1" t="s">
        <v>25</v>
      </c>
      <c r="K313" s="1">
        <v>4</v>
      </c>
      <c r="L313" s="1">
        <v>45</v>
      </c>
      <c r="M313" s="1">
        <v>180</v>
      </c>
      <c r="N313" s="1">
        <v>0</v>
      </c>
      <c r="O313" s="1">
        <v>180</v>
      </c>
      <c r="P313" s="1" t="s">
        <v>1048</v>
      </c>
      <c r="Q313" s="1">
        <v>10</v>
      </c>
      <c r="R313" s="1" t="s">
        <v>31</v>
      </c>
      <c r="S313" s="1">
        <v>5</v>
      </c>
    </row>
    <row r="314" spans="1:19" x14ac:dyDescent="0.3">
      <c r="A314" s="1" t="s">
        <v>671</v>
      </c>
      <c r="B314" s="2">
        <v>45870</v>
      </c>
      <c r="C314" s="1" t="str">
        <f t="shared" si="8"/>
        <v>Fri</v>
      </c>
      <c r="D314" s="1" t="str">
        <f t="shared" si="9"/>
        <v>Weekday</v>
      </c>
      <c r="E314" s="3">
        <v>0.4375</v>
      </c>
      <c r="F314" s="1" t="s">
        <v>672</v>
      </c>
      <c r="G314" s="1" t="s">
        <v>48</v>
      </c>
      <c r="H314" s="1" t="s">
        <v>64</v>
      </c>
      <c r="I314" s="1" t="s">
        <v>51</v>
      </c>
      <c r="J314" s="1" t="s">
        <v>18</v>
      </c>
      <c r="K314" s="1">
        <v>4</v>
      </c>
      <c r="L314" s="1">
        <v>82</v>
      </c>
      <c r="M314" s="1">
        <v>328</v>
      </c>
      <c r="N314" s="1">
        <v>0</v>
      </c>
      <c r="O314" s="1">
        <v>328</v>
      </c>
      <c r="P314" s="1" t="s">
        <v>1048</v>
      </c>
      <c r="Q314" s="1">
        <v>26</v>
      </c>
      <c r="R314" s="1" t="s">
        <v>20</v>
      </c>
      <c r="S314" s="1">
        <v>2</v>
      </c>
    </row>
    <row r="315" spans="1:19" x14ac:dyDescent="0.3">
      <c r="A315" s="1" t="s">
        <v>673</v>
      </c>
      <c r="B315" s="2">
        <v>45748</v>
      </c>
      <c r="C315" s="1" t="str">
        <f t="shared" si="8"/>
        <v>Tue</v>
      </c>
      <c r="D315" s="1" t="str">
        <f t="shared" si="9"/>
        <v>Weekday</v>
      </c>
      <c r="E315" s="3">
        <v>0.37847222222222221</v>
      </c>
      <c r="F315" s="1" t="s">
        <v>674</v>
      </c>
      <c r="G315" s="1" t="s">
        <v>28</v>
      </c>
      <c r="H315" s="1" t="s">
        <v>73</v>
      </c>
      <c r="I315" s="1" t="s">
        <v>74</v>
      </c>
      <c r="J315" s="1" t="s">
        <v>75</v>
      </c>
      <c r="K315" s="1">
        <v>6</v>
      </c>
      <c r="L315" s="1">
        <v>59</v>
      </c>
      <c r="M315" s="1">
        <v>354</v>
      </c>
      <c r="N315" s="1">
        <v>0</v>
      </c>
      <c r="O315" s="1">
        <v>354</v>
      </c>
      <c r="P315" s="1" t="s">
        <v>1049</v>
      </c>
      <c r="Q315" s="1">
        <v>38</v>
      </c>
      <c r="R315" s="1" t="s">
        <v>20</v>
      </c>
      <c r="S315" s="1"/>
    </row>
    <row r="316" spans="1:19" x14ac:dyDescent="0.3">
      <c r="A316" s="1" t="s">
        <v>675</v>
      </c>
      <c r="B316" s="2">
        <v>45962</v>
      </c>
      <c r="C316" s="1" t="str">
        <f t="shared" si="8"/>
        <v>Sat</v>
      </c>
      <c r="D316" s="1" t="str">
        <f t="shared" si="9"/>
        <v>Weekend</v>
      </c>
      <c r="E316" s="3">
        <v>0.78125</v>
      </c>
      <c r="F316" s="1" t="s">
        <v>676</v>
      </c>
      <c r="G316" s="1" t="s">
        <v>54</v>
      </c>
      <c r="H316" s="1" t="s">
        <v>41</v>
      </c>
      <c r="I316" s="1" t="s">
        <v>30</v>
      </c>
      <c r="J316" s="1" t="s">
        <v>18</v>
      </c>
      <c r="K316" s="1">
        <v>6</v>
      </c>
      <c r="L316" s="1">
        <v>26</v>
      </c>
      <c r="M316" s="1">
        <v>156</v>
      </c>
      <c r="N316" s="1">
        <v>0</v>
      </c>
      <c r="O316" s="1">
        <v>156</v>
      </c>
      <c r="P316" s="1" t="s">
        <v>1049</v>
      </c>
      <c r="Q316" s="1">
        <v>20</v>
      </c>
      <c r="R316" s="1" t="s">
        <v>31</v>
      </c>
      <c r="S316" s="1">
        <v>3</v>
      </c>
    </row>
    <row r="317" spans="1:19" x14ac:dyDescent="0.3">
      <c r="A317" s="1" t="s">
        <v>677</v>
      </c>
      <c r="B317" s="2">
        <v>45663</v>
      </c>
      <c r="C317" s="1" t="str">
        <f t="shared" si="8"/>
        <v>Mon</v>
      </c>
      <c r="D317" s="1" t="str">
        <f t="shared" si="9"/>
        <v>Weekday</v>
      </c>
      <c r="E317" s="3">
        <v>0.76041666666666663</v>
      </c>
      <c r="F317" s="1" t="s">
        <v>678</v>
      </c>
      <c r="G317" s="1" t="s">
        <v>45</v>
      </c>
      <c r="H317" s="1" t="s">
        <v>55</v>
      </c>
      <c r="I317" s="1" t="s">
        <v>74</v>
      </c>
      <c r="J317" s="1" t="s">
        <v>75</v>
      </c>
      <c r="K317" s="1">
        <v>6</v>
      </c>
      <c r="L317" s="1">
        <v>94</v>
      </c>
      <c r="M317" s="1">
        <v>574</v>
      </c>
      <c r="N317" s="1">
        <v>10</v>
      </c>
      <c r="O317" s="1">
        <v>554</v>
      </c>
      <c r="P317" s="1" t="s">
        <v>38</v>
      </c>
      <c r="Q317" s="1">
        <v>55</v>
      </c>
      <c r="R317" s="1" t="s">
        <v>20</v>
      </c>
      <c r="S317" s="1">
        <v>1</v>
      </c>
    </row>
    <row r="318" spans="1:19" x14ac:dyDescent="0.3">
      <c r="A318" s="1" t="s">
        <v>679</v>
      </c>
      <c r="B318" s="2">
        <v>45901</v>
      </c>
      <c r="C318" s="1" t="str">
        <f t="shared" si="8"/>
        <v>Mon</v>
      </c>
      <c r="D318" s="1" t="str">
        <f t="shared" si="9"/>
        <v>Weekday</v>
      </c>
      <c r="E318" s="3">
        <v>0.37847222222222221</v>
      </c>
      <c r="F318" s="1" t="s">
        <v>680</v>
      </c>
      <c r="G318" s="1" t="s">
        <v>54</v>
      </c>
      <c r="H318" s="1" t="s">
        <v>29</v>
      </c>
      <c r="I318" s="1" t="s">
        <v>17</v>
      </c>
      <c r="J318" s="1" t="s">
        <v>18</v>
      </c>
      <c r="K318" s="1">
        <v>1</v>
      </c>
      <c r="L318" s="1">
        <v>72</v>
      </c>
      <c r="M318" s="1">
        <v>72</v>
      </c>
      <c r="N318" s="1">
        <v>0</v>
      </c>
      <c r="O318" s="1">
        <v>72</v>
      </c>
      <c r="P318" s="1" t="s">
        <v>19</v>
      </c>
      <c r="Q318" s="1">
        <v>31</v>
      </c>
      <c r="R318" s="1" t="s">
        <v>20</v>
      </c>
      <c r="S318" s="1">
        <v>5</v>
      </c>
    </row>
    <row r="319" spans="1:19" x14ac:dyDescent="0.3">
      <c r="A319" s="1" t="s">
        <v>681</v>
      </c>
      <c r="B319" s="2">
        <v>45668</v>
      </c>
      <c r="C319" s="1" t="str">
        <f t="shared" si="8"/>
        <v>Sat</v>
      </c>
      <c r="D319" s="1" t="str">
        <f t="shared" si="9"/>
        <v>Weekend</v>
      </c>
      <c r="E319" s="3">
        <v>0.76041666666666663</v>
      </c>
      <c r="F319" s="1" t="s">
        <v>682</v>
      </c>
      <c r="G319" s="1" t="s">
        <v>45</v>
      </c>
      <c r="H319" s="1" t="s">
        <v>35</v>
      </c>
      <c r="I319" s="1" t="s">
        <v>51</v>
      </c>
      <c r="J319" s="1" t="s">
        <v>18</v>
      </c>
      <c r="K319" s="1">
        <v>6</v>
      </c>
      <c r="L319" s="1">
        <v>39</v>
      </c>
      <c r="M319" s="1">
        <v>234</v>
      </c>
      <c r="N319" s="1">
        <v>10</v>
      </c>
      <c r="O319" s="1">
        <v>224</v>
      </c>
      <c r="P319" s="1" t="s">
        <v>1048</v>
      </c>
      <c r="Q319" s="1">
        <v>37</v>
      </c>
      <c r="R319" s="1" t="s">
        <v>31</v>
      </c>
      <c r="S319" s="1">
        <v>3</v>
      </c>
    </row>
    <row r="320" spans="1:19" x14ac:dyDescent="0.3">
      <c r="A320" s="1" t="s">
        <v>683</v>
      </c>
      <c r="B320" s="2">
        <v>45664</v>
      </c>
      <c r="C320" s="1" t="str">
        <f t="shared" si="8"/>
        <v>Tue</v>
      </c>
      <c r="D320" s="1" t="str">
        <f t="shared" si="9"/>
        <v>Weekday</v>
      </c>
      <c r="E320" s="3">
        <v>0.4375</v>
      </c>
      <c r="F320" s="1" t="s">
        <v>684</v>
      </c>
      <c r="G320" s="1" t="s">
        <v>45</v>
      </c>
      <c r="H320" s="1" t="s">
        <v>41</v>
      </c>
      <c r="I320" s="1" t="s">
        <v>87</v>
      </c>
      <c r="J320" s="1" t="s">
        <v>88</v>
      </c>
      <c r="K320" s="1">
        <v>3</v>
      </c>
      <c r="L320" s="1">
        <v>102</v>
      </c>
      <c r="M320" s="1">
        <v>306</v>
      </c>
      <c r="N320" s="1">
        <v>5</v>
      </c>
      <c r="O320" s="1">
        <v>301</v>
      </c>
      <c r="P320" s="1" t="s">
        <v>1048</v>
      </c>
      <c r="Q320" s="1">
        <v>21</v>
      </c>
      <c r="R320" s="1" t="s">
        <v>20</v>
      </c>
      <c r="S320" s="1">
        <v>5</v>
      </c>
    </row>
    <row r="321" spans="1:19" x14ac:dyDescent="0.3">
      <c r="A321" s="1" t="s">
        <v>685</v>
      </c>
      <c r="B321" s="2">
        <v>45931</v>
      </c>
      <c r="C321" s="1" t="str">
        <f t="shared" si="8"/>
        <v>Wed</v>
      </c>
      <c r="D321" s="1" t="str">
        <f t="shared" si="9"/>
        <v>Weekday</v>
      </c>
      <c r="E321" s="3">
        <v>0.4375</v>
      </c>
      <c r="F321" s="1" t="s">
        <v>686</v>
      </c>
      <c r="G321" s="1" t="s">
        <v>45</v>
      </c>
      <c r="H321" s="1" t="s">
        <v>29</v>
      </c>
      <c r="I321" s="1" t="s">
        <v>99</v>
      </c>
      <c r="J321" s="1" t="s">
        <v>100</v>
      </c>
      <c r="K321" s="1">
        <v>4</v>
      </c>
      <c r="L321" s="1">
        <v>79</v>
      </c>
      <c r="M321" s="1">
        <v>316</v>
      </c>
      <c r="N321" s="1">
        <v>0</v>
      </c>
      <c r="O321" s="1">
        <v>316</v>
      </c>
      <c r="P321" s="1" t="s">
        <v>38</v>
      </c>
      <c r="Q321" s="1">
        <v>55</v>
      </c>
      <c r="R321" s="1" t="s">
        <v>20</v>
      </c>
      <c r="S321" s="1"/>
    </row>
    <row r="322" spans="1:19" x14ac:dyDescent="0.3">
      <c r="A322" s="1" t="s">
        <v>687</v>
      </c>
      <c r="B322" s="2">
        <v>45870</v>
      </c>
      <c r="C322" s="1" t="str">
        <f t="shared" ref="C322:C385" si="10">TEXT(B322,"DDD")</f>
        <v>Fri</v>
      </c>
      <c r="D322" s="1" t="str">
        <f t="shared" si="9"/>
        <v>Weekday</v>
      </c>
      <c r="E322" s="3">
        <v>0.78125</v>
      </c>
      <c r="F322" s="1" t="s">
        <v>688</v>
      </c>
      <c r="G322" s="1" t="s">
        <v>48</v>
      </c>
      <c r="H322" s="1" t="s">
        <v>16</v>
      </c>
      <c r="I322" s="1" t="s">
        <v>36</v>
      </c>
      <c r="J322" s="1" t="s">
        <v>37</v>
      </c>
      <c r="K322" s="1">
        <v>3</v>
      </c>
      <c r="L322" s="1">
        <v>45</v>
      </c>
      <c r="M322" s="1">
        <v>135</v>
      </c>
      <c r="N322" s="1">
        <v>5</v>
      </c>
      <c r="O322" s="1">
        <v>130</v>
      </c>
      <c r="P322" s="1" t="s">
        <v>1048</v>
      </c>
      <c r="Q322" s="1">
        <v>23</v>
      </c>
      <c r="R322" s="1" t="s">
        <v>31</v>
      </c>
      <c r="S322" s="1">
        <v>3</v>
      </c>
    </row>
    <row r="323" spans="1:19" x14ac:dyDescent="0.3">
      <c r="A323" s="1" t="s">
        <v>689</v>
      </c>
      <c r="B323" s="2">
        <v>45809</v>
      </c>
      <c r="C323" s="1" t="str">
        <f t="shared" si="10"/>
        <v>Sun</v>
      </c>
      <c r="D323" s="1" t="str">
        <f t="shared" ref="D323:D386" si="11">IF(OR(C323="Sat",C323="Sun"),"Weekend","Weekday")</f>
        <v>Weekend</v>
      </c>
      <c r="E323" s="3">
        <v>0.37847222222222221</v>
      </c>
      <c r="F323" s="1" t="s">
        <v>690</v>
      </c>
      <c r="G323" s="1" t="s">
        <v>34</v>
      </c>
      <c r="H323" s="1" t="s">
        <v>73</v>
      </c>
      <c r="I323" s="1" t="s">
        <v>99</v>
      </c>
      <c r="J323" s="1" t="s">
        <v>100</v>
      </c>
      <c r="K323" s="1">
        <v>3</v>
      </c>
      <c r="L323" s="1">
        <v>35</v>
      </c>
      <c r="M323" s="1">
        <v>105</v>
      </c>
      <c r="N323" s="1">
        <v>5</v>
      </c>
      <c r="O323" s="1">
        <v>100</v>
      </c>
      <c r="P323" s="1" t="s">
        <v>38</v>
      </c>
      <c r="Q323" s="1">
        <v>49</v>
      </c>
      <c r="R323" s="1" t="s">
        <v>20</v>
      </c>
      <c r="S323" s="1">
        <v>4</v>
      </c>
    </row>
    <row r="324" spans="1:19" x14ac:dyDescent="0.3">
      <c r="A324" s="1" t="s">
        <v>691</v>
      </c>
      <c r="B324" s="2">
        <v>45931</v>
      </c>
      <c r="C324" s="1" t="str">
        <f t="shared" si="10"/>
        <v>Wed</v>
      </c>
      <c r="D324" s="1" t="str">
        <f t="shared" si="11"/>
        <v>Weekday</v>
      </c>
      <c r="E324" s="3">
        <v>0.4375</v>
      </c>
      <c r="F324" s="1" t="s">
        <v>692</v>
      </c>
      <c r="G324" s="1" t="s">
        <v>28</v>
      </c>
      <c r="H324" s="1" t="s">
        <v>55</v>
      </c>
      <c r="I324" s="1" t="s">
        <v>87</v>
      </c>
      <c r="J324" s="1" t="s">
        <v>88</v>
      </c>
      <c r="K324" s="1">
        <v>1</v>
      </c>
      <c r="L324" s="1">
        <v>55</v>
      </c>
      <c r="M324" s="1">
        <v>65</v>
      </c>
      <c r="N324" s="1">
        <v>0</v>
      </c>
      <c r="O324" s="1">
        <v>55</v>
      </c>
      <c r="P324" s="1" t="s">
        <v>1048</v>
      </c>
      <c r="Q324" s="1">
        <v>50</v>
      </c>
      <c r="R324" s="1" t="s">
        <v>20</v>
      </c>
      <c r="S324" s="1"/>
    </row>
    <row r="325" spans="1:19" x14ac:dyDescent="0.3">
      <c r="A325" s="1" t="s">
        <v>693</v>
      </c>
      <c r="B325" s="2">
        <v>45962</v>
      </c>
      <c r="C325" s="1" t="str">
        <f t="shared" si="10"/>
        <v>Sat</v>
      </c>
      <c r="D325" s="1" t="str">
        <f t="shared" si="11"/>
        <v>Weekend</v>
      </c>
      <c r="E325" s="3">
        <v>0.37847222222222221</v>
      </c>
      <c r="F325" s="1" t="s">
        <v>694</v>
      </c>
      <c r="G325" s="1" t="s">
        <v>84</v>
      </c>
      <c r="H325" s="1" t="s">
        <v>55</v>
      </c>
      <c r="I325" s="1" t="s">
        <v>99</v>
      </c>
      <c r="J325" s="1" t="s">
        <v>100</v>
      </c>
      <c r="K325" s="1">
        <v>1</v>
      </c>
      <c r="L325" s="1">
        <v>107</v>
      </c>
      <c r="M325" s="1">
        <v>107</v>
      </c>
      <c r="N325" s="1">
        <v>5</v>
      </c>
      <c r="O325" s="1">
        <v>102</v>
      </c>
      <c r="P325" s="1" t="s">
        <v>1049</v>
      </c>
      <c r="Q325" s="1">
        <v>50</v>
      </c>
      <c r="R325" s="1" t="s">
        <v>20</v>
      </c>
      <c r="S325" s="1"/>
    </row>
    <row r="326" spans="1:19" x14ac:dyDescent="0.3">
      <c r="A326" s="1" t="s">
        <v>695</v>
      </c>
      <c r="B326" s="2">
        <v>45778</v>
      </c>
      <c r="C326" s="1" t="str">
        <f t="shared" si="10"/>
        <v>Thu</v>
      </c>
      <c r="D326" s="1" t="str">
        <f t="shared" si="11"/>
        <v>Weekday</v>
      </c>
      <c r="E326" s="3">
        <v>0.78125</v>
      </c>
      <c r="F326" s="1" t="s">
        <v>696</v>
      </c>
      <c r="G326" s="1" t="s">
        <v>28</v>
      </c>
      <c r="H326" s="1" t="s">
        <v>41</v>
      </c>
      <c r="I326" s="1" t="s">
        <v>99</v>
      </c>
      <c r="J326" s="1" t="s">
        <v>100</v>
      </c>
      <c r="K326" s="1">
        <v>1</v>
      </c>
      <c r="L326" s="1">
        <v>33</v>
      </c>
      <c r="M326" s="1">
        <v>33</v>
      </c>
      <c r="N326" s="1">
        <v>0</v>
      </c>
      <c r="O326" s="1">
        <v>33</v>
      </c>
      <c r="P326" s="1" t="s">
        <v>38</v>
      </c>
      <c r="Q326" s="1">
        <v>23</v>
      </c>
      <c r="R326" s="1" t="s">
        <v>20</v>
      </c>
      <c r="S326" s="1">
        <v>4</v>
      </c>
    </row>
    <row r="327" spans="1:19" x14ac:dyDescent="0.3">
      <c r="A327" s="1" t="s">
        <v>697</v>
      </c>
      <c r="B327" s="2">
        <v>45658</v>
      </c>
      <c r="C327" s="1" t="str">
        <f t="shared" si="10"/>
        <v>Wed</v>
      </c>
      <c r="D327" s="1" t="str">
        <f t="shared" si="11"/>
        <v>Weekday</v>
      </c>
      <c r="E327" s="3">
        <v>0.76041666666666663</v>
      </c>
      <c r="F327" s="1" t="s">
        <v>698</v>
      </c>
      <c r="G327" s="1" t="s">
        <v>48</v>
      </c>
      <c r="H327" s="1" t="s">
        <v>55</v>
      </c>
      <c r="I327" s="1" t="s">
        <v>74</v>
      </c>
      <c r="J327" s="1" t="s">
        <v>75</v>
      </c>
      <c r="K327" s="1">
        <v>6</v>
      </c>
      <c r="L327" s="1">
        <v>36</v>
      </c>
      <c r="M327" s="1">
        <v>216</v>
      </c>
      <c r="N327" s="1">
        <v>5</v>
      </c>
      <c r="O327" s="1">
        <v>211</v>
      </c>
      <c r="P327" s="1" t="s">
        <v>1048</v>
      </c>
      <c r="Q327" s="1">
        <v>11</v>
      </c>
      <c r="R327" s="1" t="s">
        <v>20</v>
      </c>
      <c r="S327" s="1">
        <v>4</v>
      </c>
    </row>
    <row r="328" spans="1:19" x14ac:dyDescent="0.3">
      <c r="A328" s="1" t="s">
        <v>699</v>
      </c>
      <c r="B328" s="2">
        <v>45664</v>
      </c>
      <c r="C328" s="1" t="str">
        <f t="shared" si="10"/>
        <v>Tue</v>
      </c>
      <c r="D328" s="1" t="str">
        <f t="shared" si="11"/>
        <v>Weekday</v>
      </c>
      <c r="E328" s="3">
        <v>0.4375</v>
      </c>
      <c r="F328" s="1" t="s">
        <v>700</v>
      </c>
      <c r="G328" s="1" t="s">
        <v>48</v>
      </c>
      <c r="H328" s="1" t="s">
        <v>35</v>
      </c>
      <c r="I328" s="1" t="s">
        <v>36</v>
      </c>
      <c r="J328" s="1" t="s">
        <v>37</v>
      </c>
      <c r="K328" s="1">
        <v>3</v>
      </c>
      <c r="L328" s="1">
        <v>102</v>
      </c>
      <c r="M328" s="1">
        <v>306</v>
      </c>
      <c r="N328" s="1">
        <v>10</v>
      </c>
      <c r="O328" s="1">
        <v>296</v>
      </c>
      <c r="P328" s="1" t="s">
        <v>19</v>
      </c>
      <c r="Q328" s="1">
        <v>26</v>
      </c>
      <c r="R328" s="1" t="s">
        <v>20</v>
      </c>
      <c r="S328" s="1">
        <v>4</v>
      </c>
    </row>
    <row r="329" spans="1:19" x14ac:dyDescent="0.3">
      <c r="A329" s="1" t="s">
        <v>701</v>
      </c>
      <c r="B329" s="2">
        <v>45717</v>
      </c>
      <c r="C329" s="1" t="str">
        <f t="shared" si="10"/>
        <v>Sat</v>
      </c>
      <c r="D329" s="1" t="str">
        <f t="shared" si="11"/>
        <v>Weekend</v>
      </c>
      <c r="E329" s="3">
        <v>0.78125</v>
      </c>
      <c r="F329" s="1" t="s">
        <v>702</v>
      </c>
      <c r="G329" s="1" t="s">
        <v>54</v>
      </c>
      <c r="H329" s="1" t="s">
        <v>35</v>
      </c>
      <c r="I329" s="1" t="s">
        <v>74</v>
      </c>
      <c r="J329" s="1" t="s">
        <v>75</v>
      </c>
      <c r="K329" s="1">
        <v>3</v>
      </c>
      <c r="L329" s="1">
        <v>104</v>
      </c>
      <c r="M329" s="1">
        <v>312</v>
      </c>
      <c r="N329" s="1">
        <v>10</v>
      </c>
      <c r="O329" s="1">
        <v>302</v>
      </c>
      <c r="P329" s="1" t="s">
        <v>1048</v>
      </c>
      <c r="Q329" s="1">
        <v>30</v>
      </c>
      <c r="R329" s="1" t="s">
        <v>31</v>
      </c>
      <c r="S329" s="1">
        <v>1</v>
      </c>
    </row>
    <row r="330" spans="1:19" x14ac:dyDescent="0.3">
      <c r="A330" s="1" t="s">
        <v>703</v>
      </c>
      <c r="B330" s="2">
        <v>45809</v>
      </c>
      <c r="C330" s="1" t="str">
        <f t="shared" si="10"/>
        <v>Sun</v>
      </c>
      <c r="D330" s="1" t="str">
        <f t="shared" si="11"/>
        <v>Weekend</v>
      </c>
      <c r="E330" s="3">
        <v>0.4375</v>
      </c>
      <c r="F330" s="1" t="s">
        <v>704</v>
      </c>
      <c r="G330" s="1" t="s">
        <v>28</v>
      </c>
      <c r="H330" s="1" t="s">
        <v>41</v>
      </c>
      <c r="I330" s="1" t="s">
        <v>42</v>
      </c>
      <c r="J330" s="1" t="s">
        <v>25</v>
      </c>
      <c r="K330" s="1">
        <v>3</v>
      </c>
      <c r="L330" s="1">
        <v>104</v>
      </c>
      <c r="M330" s="1">
        <v>312</v>
      </c>
      <c r="N330" s="1">
        <v>0</v>
      </c>
      <c r="O330" s="1">
        <v>312</v>
      </c>
      <c r="P330" s="1" t="s">
        <v>1048</v>
      </c>
      <c r="Q330" s="1">
        <v>24</v>
      </c>
      <c r="R330" s="1" t="s">
        <v>20</v>
      </c>
      <c r="S330" s="1">
        <v>3</v>
      </c>
    </row>
    <row r="331" spans="1:19" x14ac:dyDescent="0.3">
      <c r="A331" s="1" t="s">
        <v>705</v>
      </c>
      <c r="B331" s="2">
        <v>45931</v>
      </c>
      <c r="C331" s="1" t="str">
        <f t="shared" si="10"/>
        <v>Wed</v>
      </c>
      <c r="D331" s="1" t="str">
        <f t="shared" si="11"/>
        <v>Weekday</v>
      </c>
      <c r="E331" s="3">
        <v>0.78125</v>
      </c>
      <c r="F331" s="1" t="s">
        <v>706</v>
      </c>
      <c r="G331" s="1" t="s">
        <v>48</v>
      </c>
      <c r="H331" s="1" t="s">
        <v>41</v>
      </c>
      <c r="I331" s="1" t="s">
        <v>24</v>
      </c>
      <c r="J331" s="1" t="s">
        <v>25</v>
      </c>
      <c r="K331" s="1">
        <v>6</v>
      </c>
      <c r="L331" s="1">
        <v>115</v>
      </c>
      <c r="M331" s="1">
        <v>690</v>
      </c>
      <c r="N331" s="1">
        <v>0</v>
      </c>
      <c r="O331" s="1">
        <v>690</v>
      </c>
      <c r="P331" s="1" t="s">
        <v>19</v>
      </c>
      <c r="Q331" s="1">
        <v>37</v>
      </c>
      <c r="R331" s="1" t="s">
        <v>20</v>
      </c>
      <c r="S331" s="1">
        <v>3</v>
      </c>
    </row>
    <row r="332" spans="1:19" x14ac:dyDescent="0.3">
      <c r="A332" s="1" t="s">
        <v>707</v>
      </c>
      <c r="B332" s="2">
        <v>45839</v>
      </c>
      <c r="C332" s="1" t="str">
        <f t="shared" si="10"/>
        <v>Tue</v>
      </c>
      <c r="D332" s="1" t="str">
        <f t="shared" si="11"/>
        <v>Weekday</v>
      </c>
      <c r="E332" s="3">
        <v>0.78125</v>
      </c>
      <c r="F332" s="1" t="s">
        <v>708</v>
      </c>
      <c r="G332" s="1" t="s">
        <v>28</v>
      </c>
      <c r="H332" s="1" t="s">
        <v>55</v>
      </c>
      <c r="I332" s="1" t="s">
        <v>74</v>
      </c>
      <c r="J332" s="1" t="s">
        <v>75</v>
      </c>
      <c r="K332" s="1">
        <v>5</v>
      </c>
      <c r="L332" s="1">
        <v>68</v>
      </c>
      <c r="M332" s="1">
        <v>340</v>
      </c>
      <c r="N332" s="1">
        <v>10</v>
      </c>
      <c r="O332" s="1">
        <v>330</v>
      </c>
      <c r="P332" s="1" t="s">
        <v>1048</v>
      </c>
      <c r="Q332" s="1">
        <v>31</v>
      </c>
      <c r="R332" s="1" t="s">
        <v>20</v>
      </c>
      <c r="S332" s="1">
        <v>5</v>
      </c>
    </row>
    <row r="333" spans="1:19" x14ac:dyDescent="0.3">
      <c r="A333" s="1" t="s">
        <v>709</v>
      </c>
      <c r="B333" s="2">
        <v>45962</v>
      </c>
      <c r="C333" s="1" t="str">
        <f t="shared" si="10"/>
        <v>Sat</v>
      </c>
      <c r="D333" s="1" t="str">
        <f t="shared" si="11"/>
        <v>Weekend</v>
      </c>
      <c r="E333" s="3">
        <v>0.76041666666666663</v>
      </c>
      <c r="F333" s="1" t="s">
        <v>710</v>
      </c>
      <c r="G333" s="1" t="s">
        <v>54</v>
      </c>
      <c r="H333" s="1" t="s">
        <v>73</v>
      </c>
      <c r="I333" s="1" t="s">
        <v>51</v>
      </c>
      <c r="J333" s="1" t="s">
        <v>18</v>
      </c>
      <c r="K333" s="1">
        <v>5</v>
      </c>
      <c r="L333" s="1">
        <v>15</v>
      </c>
      <c r="M333" s="1">
        <v>75</v>
      </c>
      <c r="N333" s="1">
        <v>10</v>
      </c>
      <c r="O333" s="1">
        <v>65</v>
      </c>
      <c r="P333" s="1" t="s">
        <v>1048</v>
      </c>
      <c r="Q333" s="1">
        <v>18</v>
      </c>
      <c r="R333" s="1" t="s">
        <v>20</v>
      </c>
      <c r="S333" s="1"/>
    </row>
    <row r="334" spans="1:19" x14ac:dyDescent="0.3">
      <c r="A334" s="1" t="s">
        <v>711</v>
      </c>
      <c r="B334" s="2">
        <v>45839</v>
      </c>
      <c r="C334" s="1" t="str">
        <f t="shared" si="10"/>
        <v>Tue</v>
      </c>
      <c r="D334" s="1" t="str">
        <f t="shared" si="11"/>
        <v>Weekday</v>
      </c>
      <c r="E334" s="3">
        <v>0.76041666666666663</v>
      </c>
      <c r="F334" s="1" t="s">
        <v>712</v>
      </c>
      <c r="G334" s="1" t="s">
        <v>84</v>
      </c>
      <c r="H334" s="1" t="s">
        <v>35</v>
      </c>
      <c r="I334" s="1" t="s">
        <v>17</v>
      </c>
      <c r="J334" s="1" t="s">
        <v>18</v>
      </c>
      <c r="K334" s="1">
        <v>3</v>
      </c>
      <c r="L334" s="1">
        <v>19</v>
      </c>
      <c r="M334" s="1">
        <v>57</v>
      </c>
      <c r="N334" s="1">
        <v>0</v>
      </c>
      <c r="O334" s="1">
        <v>57</v>
      </c>
      <c r="P334" s="1" t="s">
        <v>1048</v>
      </c>
      <c r="Q334" s="1">
        <v>48</v>
      </c>
      <c r="R334" s="1" t="s">
        <v>20</v>
      </c>
      <c r="S334" s="1">
        <v>4</v>
      </c>
    </row>
    <row r="335" spans="1:19" x14ac:dyDescent="0.3">
      <c r="A335" s="1" t="s">
        <v>713</v>
      </c>
      <c r="B335" s="2">
        <v>45659</v>
      </c>
      <c r="C335" s="1" t="str">
        <f t="shared" si="10"/>
        <v>Thu</v>
      </c>
      <c r="D335" s="1" t="str">
        <f t="shared" si="11"/>
        <v>Weekday</v>
      </c>
      <c r="E335" s="3">
        <v>0.78125</v>
      </c>
      <c r="F335" s="1" t="s">
        <v>714</v>
      </c>
      <c r="G335" s="1" t="s">
        <v>1047</v>
      </c>
      <c r="H335" s="1" t="s">
        <v>64</v>
      </c>
      <c r="I335" s="1" t="s">
        <v>36</v>
      </c>
      <c r="J335" s="1" t="s">
        <v>37</v>
      </c>
      <c r="K335" s="1">
        <v>4</v>
      </c>
      <c r="L335" s="1">
        <v>84</v>
      </c>
      <c r="M335" s="1">
        <v>336</v>
      </c>
      <c r="N335" s="1">
        <v>5</v>
      </c>
      <c r="O335" s="1">
        <v>331</v>
      </c>
      <c r="P335" s="1" t="s">
        <v>19</v>
      </c>
      <c r="Q335" s="1">
        <v>30</v>
      </c>
      <c r="R335" s="1" t="s">
        <v>31</v>
      </c>
      <c r="S335" s="1">
        <v>4</v>
      </c>
    </row>
    <row r="336" spans="1:19" x14ac:dyDescent="0.3">
      <c r="A336" s="1" t="s">
        <v>715</v>
      </c>
      <c r="B336" s="2">
        <v>45962</v>
      </c>
      <c r="C336" s="1" t="str">
        <f t="shared" si="10"/>
        <v>Sat</v>
      </c>
      <c r="D336" s="1" t="str">
        <f t="shared" si="11"/>
        <v>Weekend</v>
      </c>
      <c r="E336" s="3">
        <v>0.37847222222222221</v>
      </c>
      <c r="F336" s="1" t="s">
        <v>716</v>
      </c>
      <c r="G336" s="1" t="s">
        <v>45</v>
      </c>
      <c r="H336" s="1" t="s">
        <v>64</v>
      </c>
      <c r="I336" s="1" t="s">
        <v>42</v>
      </c>
      <c r="J336" s="1" t="s">
        <v>25</v>
      </c>
      <c r="K336" s="1">
        <v>2</v>
      </c>
      <c r="L336" s="1">
        <v>119</v>
      </c>
      <c r="M336" s="1">
        <v>238</v>
      </c>
      <c r="N336" s="1">
        <v>10</v>
      </c>
      <c r="O336" s="1">
        <v>228</v>
      </c>
      <c r="P336" s="1" t="s">
        <v>38</v>
      </c>
      <c r="Q336" s="1">
        <v>59</v>
      </c>
      <c r="R336" s="1" t="s">
        <v>20</v>
      </c>
      <c r="S336" s="1">
        <v>5</v>
      </c>
    </row>
    <row r="337" spans="1:19" x14ac:dyDescent="0.3">
      <c r="A337" s="1" t="s">
        <v>717</v>
      </c>
      <c r="B337" s="2">
        <v>45660</v>
      </c>
      <c r="C337" s="1" t="str">
        <f t="shared" si="10"/>
        <v>Fri</v>
      </c>
      <c r="D337" s="1" t="str">
        <f t="shared" si="11"/>
        <v>Weekday</v>
      </c>
      <c r="E337" s="3">
        <v>0.4375</v>
      </c>
      <c r="F337" s="1" t="s">
        <v>718</v>
      </c>
      <c r="G337" s="1" t="s">
        <v>28</v>
      </c>
      <c r="H337" s="1" t="s">
        <v>41</v>
      </c>
      <c r="I337" s="1" t="s">
        <v>42</v>
      </c>
      <c r="J337" s="1" t="s">
        <v>25</v>
      </c>
      <c r="K337" s="1">
        <v>4</v>
      </c>
      <c r="L337" s="1">
        <v>111</v>
      </c>
      <c r="M337" s="1">
        <v>444</v>
      </c>
      <c r="N337" s="1">
        <v>5</v>
      </c>
      <c r="O337" s="1">
        <v>439</v>
      </c>
      <c r="P337" s="1" t="s">
        <v>1048</v>
      </c>
      <c r="Q337" s="1">
        <v>57</v>
      </c>
      <c r="R337" s="1" t="s">
        <v>20</v>
      </c>
      <c r="S337" s="1"/>
    </row>
    <row r="338" spans="1:19" x14ac:dyDescent="0.3">
      <c r="A338" s="1" t="s">
        <v>719</v>
      </c>
      <c r="B338" s="2">
        <v>45717</v>
      </c>
      <c r="C338" s="1" t="str">
        <f t="shared" si="10"/>
        <v>Sat</v>
      </c>
      <c r="D338" s="1" t="str">
        <f t="shared" si="11"/>
        <v>Weekend</v>
      </c>
      <c r="E338" s="3">
        <v>0.76041666666666663</v>
      </c>
      <c r="F338" s="1" t="s">
        <v>720</v>
      </c>
      <c r="G338" s="1" t="s">
        <v>84</v>
      </c>
      <c r="H338" s="1" t="s">
        <v>35</v>
      </c>
      <c r="I338" s="1" t="s">
        <v>36</v>
      </c>
      <c r="J338" s="1" t="s">
        <v>37</v>
      </c>
      <c r="K338" s="1">
        <v>5</v>
      </c>
      <c r="L338" s="1">
        <v>48</v>
      </c>
      <c r="M338" s="1">
        <v>240</v>
      </c>
      <c r="N338" s="1">
        <v>0</v>
      </c>
      <c r="O338" s="1">
        <v>240</v>
      </c>
      <c r="P338" s="1" t="s">
        <v>1048</v>
      </c>
      <c r="Q338" s="1">
        <v>55</v>
      </c>
      <c r="R338" s="1" t="s">
        <v>31</v>
      </c>
      <c r="S338" s="1">
        <v>5</v>
      </c>
    </row>
    <row r="339" spans="1:19" x14ac:dyDescent="0.3">
      <c r="A339" s="1" t="s">
        <v>721</v>
      </c>
      <c r="B339" s="2">
        <v>45839</v>
      </c>
      <c r="C339" s="1" t="str">
        <f t="shared" si="10"/>
        <v>Tue</v>
      </c>
      <c r="D339" s="1" t="str">
        <f t="shared" si="11"/>
        <v>Weekday</v>
      </c>
      <c r="E339" s="3">
        <v>0.37847222222222221</v>
      </c>
      <c r="F339" s="1" t="s">
        <v>722</v>
      </c>
      <c r="G339" s="1" t="s">
        <v>28</v>
      </c>
      <c r="H339" s="1" t="s">
        <v>64</v>
      </c>
      <c r="I339" s="1" t="s">
        <v>36</v>
      </c>
      <c r="J339" s="1" t="s">
        <v>37</v>
      </c>
      <c r="K339" s="1">
        <v>5</v>
      </c>
      <c r="L339" s="1">
        <v>24</v>
      </c>
      <c r="M339" s="1">
        <v>120</v>
      </c>
      <c r="N339" s="1">
        <v>10</v>
      </c>
      <c r="O339" s="1">
        <v>110</v>
      </c>
      <c r="P339" s="1" t="s">
        <v>19</v>
      </c>
      <c r="Q339" s="1">
        <v>52</v>
      </c>
      <c r="R339" s="1" t="s">
        <v>20</v>
      </c>
      <c r="S339" s="1">
        <v>3</v>
      </c>
    </row>
    <row r="340" spans="1:19" x14ac:dyDescent="0.3">
      <c r="A340" s="1" t="s">
        <v>723</v>
      </c>
      <c r="B340" s="2">
        <v>45664</v>
      </c>
      <c r="C340" s="1" t="str">
        <f t="shared" si="10"/>
        <v>Tue</v>
      </c>
      <c r="D340" s="1" t="str">
        <f t="shared" si="11"/>
        <v>Weekday</v>
      </c>
      <c r="E340" s="3">
        <v>0.37847222222222221</v>
      </c>
      <c r="F340" s="1" t="s">
        <v>724</v>
      </c>
      <c r="G340" s="1" t="s">
        <v>45</v>
      </c>
      <c r="H340" s="1" t="s">
        <v>64</v>
      </c>
      <c r="I340" s="1" t="s">
        <v>51</v>
      </c>
      <c r="J340" s="1" t="s">
        <v>18</v>
      </c>
      <c r="K340" s="1">
        <v>6</v>
      </c>
      <c r="L340" s="1">
        <v>20</v>
      </c>
      <c r="M340" s="1">
        <v>120</v>
      </c>
      <c r="N340" s="1">
        <v>5</v>
      </c>
      <c r="O340" s="1">
        <v>115</v>
      </c>
      <c r="P340" s="1" t="s">
        <v>1048</v>
      </c>
      <c r="Q340" s="1">
        <v>40</v>
      </c>
      <c r="R340" s="1" t="s">
        <v>31</v>
      </c>
      <c r="S340" s="1">
        <v>1</v>
      </c>
    </row>
    <row r="341" spans="1:19" x14ac:dyDescent="0.3">
      <c r="A341" s="1" t="s">
        <v>725</v>
      </c>
      <c r="B341" s="2">
        <v>45778</v>
      </c>
      <c r="C341" s="1" t="str">
        <f t="shared" si="10"/>
        <v>Thu</v>
      </c>
      <c r="D341" s="1" t="str">
        <f t="shared" si="11"/>
        <v>Weekday</v>
      </c>
      <c r="E341" s="3">
        <v>0.76041666666666663</v>
      </c>
      <c r="F341" s="1" t="s">
        <v>726</v>
      </c>
      <c r="G341" s="1" t="s">
        <v>54</v>
      </c>
      <c r="H341" s="1" t="s">
        <v>29</v>
      </c>
      <c r="I341" s="1" t="s">
        <v>51</v>
      </c>
      <c r="J341" s="1" t="s">
        <v>18</v>
      </c>
      <c r="K341" s="1">
        <v>6</v>
      </c>
      <c r="L341" s="1">
        <v>103</v>
      </c>
      <c r="M341" s="1">
        <v>618</v>
      </c>
      <c r="N341" s="1">
        <v>10</v>
      </c>
      <c r="O341" s="1">
        <v>608</v>
      </c>
      <c r="P341" s="1" t="s">
        <v>1049</v>
      </c>
      <c r="Q341" s="1">
        <v>44</v>
      </c>
      <c r="R341" s="1" t="s">
        <v>31</v>
      </c>
      <c r="S341" s="1">
        <v>1</v>
      </c>
    </row>
    <row r="342" spans="1:19" x14ac:dyDescent="0.3">
      <c r="A342" s="1" t="s">
        <v>727</v>
      </c>
      <c r="B342" s="2">
        <v>45667</v>
      </c>
      <c r="C342" s="1" t="str">
        <f t="shared" si="10"/>
        <v>Fri</v>
      </c>
      <c r="D342" s="1" t="str">
        <f t="shared" si="11"/>
        <v>Weekday</v>
      </c>
      <c r="E342" s="3">
        <v>0.78125</v>
      </c>
      <c r="F342" s="1" t="s">
        <v>728</v>
      </c>
      <c r="G342" s="1" t="s">
        <v>28</v>
      </c>
      <c r="H342" s="1" t="s">
        <v>64</v>
      </c>
      <c r="I342" s="1" t="s">
        <v>24</v>
      </c>
      <c r="J342" s="1" t="s">
        <v>25</v>
      </c>
      <c r="K342" s="1">
        <v>5</v>
      </c>
      <c r="L342" s="1">
        <v>89</v>
      </c>
      <c r="M342" s="1">
        <v>445</v>
      </c>
      <c r="N342" s="1">
        <v>10</v>
      </c>
      <c r="O342" s="1">
        <v>435</v>
      </c>
      <c r="P342" s="1" t="s">
        <v>1048</v>
      </c>
      <c r="Q342" s="1">
        <v>29</v>
      </c>
      <c r="R342" s="1" t="s">
        <v>20</v>
      </c>
      <c r="S342" s="1"/>
    </row>
    <row r="343" spans="1:19" x14ac:dyDescent="0.3">
      <c r="A343" s="1" t="s">
        <v>729</v>
      </c>
      <c r="B343" s="2">
        <v>45668</v>
      </c>
      <c r="C343" s="1" t="str">
        <f t="shared" si="10"/>
        <v>Sat</v>
      </c>
      <c r="D343" s="1" t="str">
        <f t="shared" si="11"/>
        <v>Weekend</v>
      </c>
      <c r="E343" s="3">
        <v>0.76041666666666663</v>
      </c>
      <c r="F343" s="1" t="s">
        <v>730</v>
      </c>
      <c r="G343" s="1" t="s">
        <v>84</v>
      </c>
      <c r="H343" s="1" t="s">
        <v>35</v>
      </c>
      <c r="I343" s="1" t="s">
        <v>74</v>
      </c>
      <c r="J343" s="1" t="s">
        <v>75</v>
      </c>
      <c r="K343" s="1">
        <v>3</v>
      </c>
      <c r="L343" s="1">
        <v>44</v>
      </c>
      <c r="M343" s="1">
        <v>132</v>
      </c>
      <c r="N343" s="1">
        <v>10</v>
      </c>
      <c r="O343" s="1">
        <v>122</v>
      </c>
      <c r="P343" s="1" t="s">
        <v>19</v>
      </c>
      <c r="Q343" s="1">
        <v>37</v>
      </c>
      <c r="R343" s="1" t="s">
        <v>20</v>
      </c>
      <c r="S343" s="1">
        <v>3</v>
      </c>
    </row>
    <row r="344" spans="1:19" x14ac:dyDescent="0.3">
      <c r="A344" s="1" t="s">
        <v>731</v>
      </c>
      <c r="B344" s="2">
        <v>45778</v>
      </c>
      <c r="C344" s="1" t="str">
        <f t="shared" si="10"/>
        <v>Thu</v>
      </c>
      <c r="D344" s="1" t="str">
        <f t="shared" si="11"/>
        <v>Weekday</v>
      </c>
      <c r="E344" s="3">
        <v>0.76041666666666663</v>
      </c>
      <c r="F344" s="1" t="s">
        <v>732</v>
      </c>
      <c r="G344" s="1" t="s">
        <v>1047</v>
      </c>
      <c r="H344" s="1" t="s">
        <v>23</v>
      </c>
      <c r="I344" s="1" t="s">
        <v>87</v>
      </c>
      <c r="J344" s="1" t="s">
        <v>88</v>
      </c>
      <c r="K344" s="1">
        <v>1</v>
      </c>
      <c r="L344" s="1">
        <v>21</v>
      </c>
      <c r="M344" s="1">
        <v>21</v>
      </c>
      <c r="N344" s="1">
        <v>0</v>
      </c>
      <c r="O344" s="1">
        <v>21</v>
      </c>
      <c r="P344" s="1" t="s">
        <v>38</v>
      </c>
      <c r="Q344" s="1">
        <v>11</v>
      </c>
      <c r="R344" s="1" t="s">
        <v>20</v>
      </c>
      <c r="S344" s="1">
        <v>1</v>
      </c>
    </row>
    <row r="345" spans="1:19" x14ac:dyDescent="0.3">
      <c r="A345" s="1" t="s">
        <v>733</v>
      </c>
      <c r="B345" s="2">
        <v>45660</v>
      </c>
      <c r="C345" s="1" t="str">
        <f t="shared" si="10"/>
        <v>Fri</v>
      </c>
      <c r="D345" s="1" t="str">
        <f t="shared" si="11"/>
        <v>Weekday</v>
      </c>
      <c r="E345" s="3">
        <v>0.78125</v>
      </c>
      <c r="F345" s="1" t="s">
        <v>734</v>
      </c>
      <c r="G345" s="1" t="s">
        <v>34</v>
      </c>
      <c r="H345" s="1" t="s">
        <v>16</v>
      </c>
      <c r="I345" s="1" t="s">
        <v>42</v>
      </c>
      <c r="J345" s="1" t="s">
        <v>25</v>
      </c>
      <c r="K345" s="1">
        <v>5</v>
      </c>
      <c r="L345" s="1">
        <v>56</v>
      </c>
      <c r="M345" s="1">
        <v>280</v>
      </c>
      <c r="N345" s="1">
        <v>5</v>
      </c>
      <c r="O345" s="1">
        <v>275</v>
      </c>
      <c r="P345" s="1" t="s">
        <v>19</v>
      </c>
      <c r="Q345" s="1">
        <v>34</v>
      </c>
      <c r="R345" s="1" t="s">
        <v>31</v>
      </c>
      <c r="S345" s="1">
        <v>3</v>
      </c>
    </row>
    <row r="346" spans="1:19" x14ac:dyDescent="0.3">
      <c r="A346" s="1" t="s">
        <v>735</v>
      </c>
      <c r="B346" s="2">
        <v>45665</v>
      </c>
      <c r="C346" s="1" t="str">
        <f t="shared" si="10"/>
        <v>Wed</v>
      </c>
      <c r="D346" s="1" t="str">
        <f t="shared" si="11"/>
        <v>Weekday</v>
      </c>
      <c r="E346" s="3">
        <v>0.78125</v>
      </c>
      <c r="F346" s="1" t="s">
        <v>736</v>
      </c>
      <c r="G346" s="1" t="s">
        <v>28</v>
      </c>
      <c r="H346" s="1" t="s">
        <v>73</v>
      </c>
      <c r="I346" s="1" t="s">
        <v>36</v>
      </c>
      <c r="J346" s="1" t="s">
        <v>37</v>
      </c>
      <c r="K346" s="1">
        <v>6</v>
      </c>
      <c r="L346" s="1">
        <v>43</v>
      </c>
      <c r="M346" s="1">
        <v>258</v>
      </c>
      <c r="N346" s="1">
        <v>0</v>
      </c>
      <c r="O346" s="1">
        <v>258</v>
      </c>
      <c r="P346" s="1" t="s">
        <v>19</v>
      </c>
      <c r="Q346" s="1">
        <v>33</v>
      </c>
      <c r="R346" s="1" t="s">
        <v>31</v>
      </c>
      <c r="S346" s="1">
        <v>2</v>
      </c>
    </row>
    <row r="347" spans="1:19" x14ac:dyDescent="0.3">
      <c r="A347" s="1" t="s">
        <v>737</v>
      </c>
      <c r="B347" s="2">
        <v>45663</v>
      </c>
      <c r="C347" s="1" t="str">
        <f t="shared" si="10"/>
        <v>Mon</v>
      </c>
      <c r="D347" s="1" t="str">
        <f t="shared" si="11"/>
        <v>Weekday</v>
      </c>
      <c r="E347" s="3">
        <v>0.76041666666666663</v>
      </c>
      <c r="F347" s="1" t="s">
        <v>738</v>
      </c>
      <c r="G347" s="1" t="s">
        <v>84</v>
      </c>
      <c r="H347" s="1" t="s">
        <v>64</v>
      </c>
      <c r="I347" s="1" t="s">
        <v>87</v>
      </c>
      <c r="J347" s="1" t="s">
        <v>88</v>
      </c>
      <c r="K347" s="1">
        <v>3</v>
      </c>
      <c r="L347" s="1">
        <v>80</v>
      </c>
      <c r="M347" s="1">
        <v>240</v>
      </c>
      <c r="N347" s="1">
        <v>5</v>
      </c>
      <c r="O347" s="1">
        <v>235</v>
      </c>
      <c r="P347" s="1" t="s">
        <v>38</v>
      </c>
      <c r="Q347" s="1">
        <v>34</v>
      </c>
      <c r="R347" s="1" t="s">
        <v>20</v>
      </c>
      <c r="S347" s="1"/>
    </row>
    <row r="348" spans="1:19" x14ac:dyDescent="0.3">
      <c r="A348" s="1" t="s">
        <v>739</v>
      </c>
      <c r="B348" s="2">
        <v>45717</v>
      </c>
      <c r="C348" s="1" t="str">
        <f t="shared" si="10"/>
        <v>Sat</v>
      </c>
      <c r="D348" s="1" t="str">
        <f t="shared" si="11"/>
        <v>Weekend</v>
      </c>
      <c r="E348" s="3">
        <v>0.37847222222222221</v>
      </c>
      <c r="F348" s="1" t="s">
        <v>740</v>
      </c>
      <c r="G348" s="1" t="s">
        <v>48</v>
      </c>
      <c r="H348" s="1" t="s">
        <v>35</v>
      </c>
      <c r="I348" s="1" t="s">
        <v>30</v>
      </c>
      <c r="J348" s="1" t="s">
        <v>18</v>
      </c>
      <c r="K348" s="1">
        <v>2</v>
      </c>
      <c r="L348" s="1">
        <v>117</v>
      </c>
      <c r="M348" s="1">
        <v>234</v>
      </c>
      <c r="N348" s="1">
        <v>0</v>
      </c>
      <c r="O348" s="1">
        <v>234</v>
      </c>
      <c r="P348" s="1" t="s">
        <v>19</v>
      </c>
      <c r="Q348" s="1">
        <v>10</v>
      </c>
      <c r="R348" s="1" t="s">
        <v>31</v>
      </c>
      <c r="S348" s="1">
        <v>5</v>
      </c>
    </row>
    <row r="349" spans="1:19" x14ac:dyDescent="0.3">
      <c r="A349" s="1" t="s">
        <v>741</v>
      </c>
      <c r="B349" s="2">
        <v>45809</v>
      </c>
      <c r="C349" s="1" t="str">
        <f t="shared" si="10"/>
        <v>Sun</v>
      </c>
      <c r="D349" s="1" t="str">
        <f t="shared" si="11"/>
        <v>Weekend</v>
      </c>
      <c r="E349" s="3">
        <v>0.78125</v>
      </c>
      <c r="F349" s="1" t="s">
        <v>742</v>
      </c>
      <c r="G349" s="1" t="s">
        <v>84</v>
      </c>
      <c r="H349" s="1" t="s">
        <v>73</v>
      </c>
      <c r="I349" s="1" t="s">
        <v>42</v>
      </c>
      <c r="J349" s="1" t="s">
        <v>25</v>
      </c>
      <c r="K349" s="1">
        <v>3</v>
      </c>
      <c r="L349" s="1">
        <v>58</v>
      </c>
      <c r="M349" s="1">
        <v>174</v>
      </c>
      <c r="N349" s="1">
        <v>0</v>
      </c>
      <c r="O349" s="1">
        <v>174</v>
      </c>
      <c r="P349" s="1" t="s">
        <v>19</v>
      </c>
      <c r="Q349" s="1">
        <v>35</v>
      </c>
      <c r="R349" s="1" t="s">
        <v>20</v>
      </c>
      <c r="S349" s="1">
        <v>2</v>
      </c>
    </row>
    <row r="350" spans="1:19" x14ac:dyDescent="0.3">
      <c r="A350" s="1" t="s">
        <v>743</v>
      </c>
      <c r="B350" s="2">
        <v>45667</v>
      </c>
      <c r="C350" s="1" t="str">
        <f t="shared" si="10"/>
        <v>Fri</v>
      </c>
      <c r="D350" s="1" t="str">
        <f t="shared" si="11"/>
        <v>Weekday</v>
      </c>
      <c r="E350" s="3">
        <v>0.76041666666666663</v>
      </c>
      <c r="F350" s="1" t="s">
        <v>744</v>
      </c>
      <c r="G350" s="1" t="s">
        <v>45</v>
      </c>
      <c r="H350" s="1" t="s">
        <v>29</v>
      </c>
      <c r="I350" s="1" t="s">
        <v>24</v>
      </c>
      <c r="J350" s="1" t="s">
        <v>25</v>
      </c>
      <c r="K350" s="1">
        <v>3</v>
      </c>
      <c r="L350" s="1">
        <v>89</v>
      </c>
      <c r="M350" s="1">
        <v>267</v>
      </c>
      <c r="N350" s="1">
        <v>5</v>
      </c>
      <c r="O350" s="1">
        <v>262</v>
      </c>
      <c r="P350" s="1" t="s">
        <v>38</v>
      </c>
      <c r="Q350" s="1">
        <v>55</v>
      </c>
      <c r="R350" s="1" t="s">
        <v>20</v>
      </c>
      <c r="S350" s="1">
        <v>5</v>
      </c>
    </row>
    <row r="351" spans="1:19" x14ac:dyDescent="0.3">
      <c r="A351" s="1" t="s">
        <v>745</v>
      </c>
      <c r="B351" s="2">
        <v>45901</v>
      </c>
      <c r="C351" s="1" t="str">
        <f t="shared" si="10"/>
        <v>Mon</v>
      </c>
      <c r="D351" s="1" t="str">
        <f t="shared" si="11"/>
        <v>Weekday</v>
      </c>
      <c r="E351" s="3">
        <v>0.76041666666666663</v>
      </c>
      <c r="F351" s="1" t="s">
        <v>746</v>
      </c>
      <c r="G351" s="1" t="s">
        <v>48</v>
      </c>
      <c r="H351" s="1" t="s">
        <v>55</v>
      </c>
      <c r="I351" s="1" t="s">
        <v>36</v>
      </c>
      <c r="J351" s="1" t="s">
        <v>37</v>
      </c>
      <c r="K351" s="1">
        <v>4</v>
      </c>
      <c r="L351" s="1">
        <v>113</v>
      </c>
      <c r="M351" s="1">
        <v>452</v>
      </c>
      <c r="N351" s="1">
        <v>10</v>
      </c>
      <c r="O351" s="1">
        <v>442</v>
      </c>
      <c r="P351" s="1" t="s">
        <v>1048</v>
      </c>
      <c r="Q351" s="1">
        <v>51</v>
      </c>
      <c r="R351" s="1" t="s">
        <v>31</v>
      </c>
      <c r="S351" s="1">
        <v>4</v>
      </c>
    </row>
    <row r="352" spans="1:19" x14ac:dyDescent="0.3">
      <c r="A352" s="1" t="s">
        <v>747</v>
      </c>
      <c r="B352" s="2">
        <v>45901</v>
      </c>
      <c r="C352" s="1" t="str">
        <f t="shared" si="10"/>
        <v>Mon</v>
      </c>
      <c r="D352" s="1" t="str">
        <f t="shared" si="11"/>
        <v>Weekday</v>
      </c>
      <c r="E352" s="3">
        <v>0.4375</v>
      </c>
      <c r="F352" s="1" t="s">
        <v>748</v>
      </c>
      <c r="G352" s="1" t="s">
        <v>28</v>
      </c>
      <c r="H352" s="1" t="s">
        <v>16</v>
      </c>
      <c r="I352" s="1" t="s">
        <v>17</v>
      </c>
      <c r="J352" s="1" t="s">
        <v>18</v>
      </c>
      <c r="K352" s="1">
        <v>2</v>
      </c>
      <c r="L352" s="1">
        <v>107</v>
      </c>
      <c r="M352" s="1">
        <v>224</v>
      </c>
      <c r="N352" s="1">
        <v>5</v>
      </c>
      <c r="O352" s="1">
        <v>209</v>
      </c>
      <c r="P352" s="1" t="s">
        <v>38</v>
      </c>
      <c r="Q352" s="1">
        <v>44</v>
      </c>
      <c r="R352" s="1" t="s">
        <v>20</v>
      </c>
      <c r="S352" s="1">
        <v>2</v>
      </c>
    </row>
    <row r="353" spans="1:19" x14ac:dyDescent="0.3">
      <c r="A353" s="1" t="s">
        <v>749</v>
      </c>
      <c r="B353" s="2">
        <v>45689</v>
      </c>
      <c r="C353" s="1" t="str">
        <f t="shared" si="10"/>
        <v>Sat</v>
      </c>
      <c r="D353" s="1" t="str">
        <f t="shared" si="11"/>
        <v>Weekend</v>
      </c>
      <c r="E353" s="3">
        <v>0.37847222222222221</v>
      </c>
      <c r="F353" s="1" t="s">
        <v>750</v>
      </c>
      <c r="G353" s="1" t="s">
        <v>45</v>
      </c>
      <c r="H353" s="1" t="s">
        <v>64</v>
      </c>
      <c r="I353" s="1" t="s">
        <v>24</v>
      </c>
      <c r="J353" s="1" t="s">
        <v>25</v>
      </c>
      <c r="K353" s="1">
        <v>1</v>
      </c>
      <c r="L353" s="1">
        <v>86</v>
      </c>
      <c r="M353" s="1">
        <v>86</v>
      </c>
      <c r="N353" s="1">
        <v>0</v>
      </c>
      <c r="O353" s="1">
        <v>86</v>
      </c>
      <c r="P353" s="1" t="s">
        <v>38</v>
      </c>
      <c r="Q353" s="1">
        <v>14</v>
      </c>
      <c r="R353" s="1" t="s">
        <v>20</v>
      </c>
      <c r="S353" s="1">
        <v>4</v>
      </c>
    </row>
    <row r="354" spans="1:19" x14ac:dyDescent="0.3">
      <c r="A354" s="1" t="s">
        <v>751</v>
      </c>
      <c r="B354" s="2">
        <v>45962</v>
      </c>
      <c r="C354" s="1" t="str">
        <f t="shared" si="10"/>
        <v>Sat</v>
      </c>
      <c r="D354" s="1" t="str">
        <f t="shared" si="11"/>
        <v>Weekend</v>
      </c>
      <c r="E354" s="3">
        <v>0.78125</v>
      </c>
      <c r="F354" s="1" t="s">
        <v>752</v>
      </c>
      <c r="G354" s="1" t="s">
        <v>84</v>
      </c>
      <c r="H354" s="1" t="s">
        <v>64</v>
      </c>
      <c r="I354" s="1" t="s">
        <v>51</v>
      </c>
      <c r="J354" s="1" t="s">
        <v>18</v>
      </c>
      <c r="K354" s="1">
        <v>5</v>
      </c>
      <c r="L354" s="1">
        <v>37</v>
      </c>
      <c r="M354" s="1">
        <v>185</v>
      </c>
      <c r="N354" s="1">
        <v>0</v>
      </c>
      <c r="O354" s="1">
        <v>185</v>
      </c>
      <c r="P354" s="1" t="s">
        <v>1048</v>
      </c>
      <c r="Q354" s="1">
        <v>21</v>
      </c>
      <c r="R354" s="1" t="s">
        <v>31</v>
      </c>
      <c r="S354" s="1">
        <v>2</v>
      </c>
    </row>
    <row r="355" spans="1:19" x14ac:dyDescent="0.3">
      <c r="A355" s="1" t="s">
        <v>753</v>
      </c>
      <c r="B355" s="2">
        <v>45809</v>
      </c>
      <c r="C355" s="1" t="str">
        <f t="shared" si="10"/>
        <v>Sun</v>
      </c>
      <c r="D355" s="1" t="str">
        <f t="shared" si="11"/>
        <v>Weekend</v>
      </c>
      <c r="E355" s="3">
        <v>0.4375</v>
      </c>
      <c r="F355" s="1" t="s">
        <v>754</v>
      </c>
      <c r="G355" s="1" t="s">
        <v>48</v>
      </c>
      <c r="H355" s="1" t="s">
        <v>29</v>
      </c>
      <c r="I355" s="1" t="s">
        <v>36</v>
      </c>
      <c r="J355" s="1" t="s">
        <v>37</v>
      </c>
      <c r="K355" s="1">
        <v>2</v>
      </c>
      <c r="L355" s="1">
        <v>28</v>
      </c>
      <c r="M355" s="1">
        <v>56</v>
      </c>
      <c r="N355" s="1">
        <v>0</v>
      </c>
      <c r="O355" s="1">
        <v>56</v>
      </c>
      <c r="P355" s="1" t="s">
        <v>38</v>
      </c>
      <c r="Q355" s="1">
        <v>47</v>
      </c>
      <c r="R355" s="1" t="s">
        <v>20</v>
      </c>
      <c r="S355" s="1">
        <v>2</v>
      </c>
    </row>
    <row r="356" spans="1:19" x14ac:dyDescent="0.3">
      <c r="A356" s="1" t="s">
        <v>755</v>
      </c>
      <c r="B356" s="2">
        <v>45661</v>
      </c>
      <c r="C356" s="1" t="str">
        <f t="shared" si="10"/>
        <v>Sat</v>
      </c>
      <c r="D356" s="1" t="str">
        <f t="shared" si="11"/>
        <v>Weekend</v>
      </c>
      <c r="E356" s="3">
        <v>0.4375</v>
      </c>
      <c r="F356" s="1" t="s">
        <v>756</v>
      </c>
      <c r="G356" s="1" t="s">
        <v>1047</v>
      </c>
      <c r="H356" s="1" t="s">
        <v>29</v>
      </c>
      <c r="I356" s="1" t="s">
        <v>42</v>
      </c>
      <c r="J356" s="1" t="s">
        <v>25</v>
      </c>
      <c r="K356" s="1">
        <v>6</v>
      </c>
      <c r="L356" s="1">
        <v>35</v>
      </c>
      <c r="M356" s="1">
        <v>210</v>
      </c>
      <c r="N356" s="1">
        <v>5</v>
      </c>
      <c r="O356" s="1">
        <v>205</v>
      </c>
      <c r="P356" s="1" t="s">
        <v>1048</v>
      </c>
      <c r="Q356" s="1">
        <v>21</v>
      </c>
      <c r="R356" s="1" t="s">
        <v>31</v>
      </c>
      <c r="S356" s="1"/>
    </row>
    <row r="357" spans="1:19" x14ac:dyDescent="0.3">
      <c r="A357" s="1" t="s">
        <v>757</v>
      </c>
      <c r="B357" s="2">
        <v>45931</v>
      </c>
      <c r="C357" s="1" t="str">
        <f t="shared" si="10"/>
        <v>Wed</v>
      </c>
      <c r="D357" s="1" t="str">
        <f t="shared" si="11"/>
        <v>Weekday</v>
      </c>
      <c r="E357" s="3">
        <v>0.4375</v>
      </c>
      <c r="F357" s="1" t="s">
        <v>758</v>
      </c>
      <c r="G357" s="1" t="s">
        <v>84</v>
      </c>
      <c r="H357" s="1" t="s">
        <v>16</v>
      </c>
      <c r="I357" s="1" t="s">
        <v>36</v>
      </c>
      <c r="J357" s="1" t="s">
        <v>37</v>
      </c>
      <c r="K357" s="1">
        <v>6</v>
      </c>
      <c r="L357" s="1">
        <v>14</v>
      </c>
      <c r="M357" s="1">
        <v>84</v>
      </c>
      <c r="N357" s="1">
        <v>0</v>
      </c>
      <c r="O357" s="1">
        <v>84</v>
      </c>
      <c r="P357" s="1" t="s">
        <v>19</v>
      </c>
      <c r="Q357" s="1">
        <v>39</v>
      </c>
      <c r="R357" s="1" t="s">
        <v>20</v>
      </c>
      <c r="S357" s="1"/>
    </row>
    <row r="358" spans="1:19" x14ac:dyDescent="0.3">
      <c r="A358" s="1" t="s">
        <v>759</v>
      </c>
      <c r="B358" s="2">
        <v>45660</v>
      </c>
      <c r="C358" s="1" t="str">
        <f t="shared" si="10"/>
        <v>Fri</v>
      </c>
      <c r="D358" s="1" t="str">
        <f t="shared" si="11"/>
        <v>Weekday</v>
      </c>
      <c r="E358" s="3">
        <v>0.4375</v>
      </c>
      <c r="F358" s="1" t="s">
        <v>760</v>
      </c>
      <c r="G358" s="1" t="s">
        <v>48</v>
      </c>
      <c r="H358" s="1" t="s">
        <v>64</v>
      </c>
      <c r="I358" s="1" t="s">
        <v>99</v>
      </c>
      <c r="J358" s="1" t="s">
        <v>100</v>
      </c>
      <c r="K358" s="1">
        <v>2</v>
      </c>
      <c r="L358" s="1">
        <v>120</v>
      </c>
      <c r="M358" s="1">
        <v>240</v>
      </c>
      <c r="N358" s="1">
        <v>10</v>
      </c>
      <c r="O358" s="1">
        <v>230</v>
      </c>
      <c r="P358" s="1" t="s">
        <v>1048</v>
      </c>
      <c r="Q358" s="1">
        <v>27</v>
      </c>
      <c r="R358" s="1" t="s">
        <v>20</v>
      </c>
      <c r="S358" s="1"/>
    </row>
    <row r="359" spans="1:19" x14ac:dyDescent="0.3">
      <c r="A359" s="1" t="s">
        <v>761</v>
      </c>
      <c r="B359" s="2">
        <v>45962</v>
      </c>
      <c r="C359" s="1" t="str">
        <f t="shared" si="10"/>
        <v>Sat</v>
      </c>
      <c r="D359" s="1" t="str">
        <f t="shared" si="11"/>
        <v>Weekend</v>
      </c>
      <c r="E359" s="3">
        <v>0.37847222222222221</v>
      </c>
      <c r="F359" s="1" t="s">
        <v>762</v>
      </c>
      <c r="G359" s="1" t="s">
        <v>34</v>
      </c>
      <c r="H359" s="1" t="s">
        <v>23</v>
      </c>
      <c r="I359" s="1" t="s">
        <v>87</v>
      </c>
      <c r="J359" s="1" t="s">
        <v>88</v>
      </c>
      <c r="K359" s="1">
        <v>1</v>
      </c>
      <c r="L359" s="1">
        <v>58</v>
      </c>
      <c r="M359" s="1">
        <v>58</v>
      </c>
      <c r="N359" s="1">
        <v>0</v>
      </c>
      <c r="O359" s="1">
        <v>58</v>
      </c>
      <c r="P359" s="1" t="s">
        <v>19</v>
      </c>
      <c r="Q359" s="1">
        <v>50</v>
      </c>
      <c r="R359" s="1" t="s">
        <v>31</v>
      </c>
      <c r="S359" s="1">
        <v>1</v>
      </c>
    </row>
    <row r="360" spans="1:19" x14ac:dyDescent="0.3">
      <c r="A360" s="1" t="s">
        <v>763</v>
      </c>
      <c r="B360" s="2">
        <v>45962</v>
      </c>
      <c r="C360" s="1" t="str">
        <f t="shared" si="10"/>
        <v>Sat</v>
      </c>
      <c r="D360" s="1" t="str">
        <f t="shared" si="11"/>
        <v>Weekend</v>
      </c>
      <c r="E360" s="3">
        <v>0.4375</v>
      </c>
      <c r="F360" s="1" t="s">
        <v>764</v>
      </c>
      <c r="G360" s="1" t="s">
        <v>1047</v>
      </c>
      <c r="H360" s="1" t="s">
        <v>29</v>
      </c>
      <c r="I360" s="1" t="s">
        <v>51</v>
      </c>
      <c r="J360" s="1" t="s">
        <v>18</v>
      </c>
      <c r="K360" s="1">
        <v>2</v>
      </c>
      <c r="L360" s="1">
        <v>103</v>
      </c>
      <c r="M360" s="1">
        <v>206</v>
      </c>
      <c r="N360" s="1">
        <v>10</v>
      </c>
      <c r="O360" s="1">
        <v>196</v>
      </c>
      <c r="P360" s="1" t="s">
        <v>38</v>
      </c>
      <c r="Q360" s="1">
        <v>44</v>
      </c>
      <c r="R360" s="1" t="s">
        <v>31</v>
      </c>
      <c r="S360" s="1">
        <v>4</v>
      </c>
    </row>
    <row r="361" spans="1:19" x14ac:dyDescent="0.3">
      <c r="A361" s="1" t="s">
        <v>765</v>
      </c>
      <c r="B361" s="2">
        <v>45663</v>
      </c>
      <c r="C361" s="1" t="str">
        <f t="shared" si="10"/>
        <v>Mon</v>
      </c>
      <c r="D361" s="1" t="str">
        <f t="shared" si="11"/>
        <v>Weekday</v>
      </c>
      <c r="E361" s="3">
        <v>0.4375</v>
      </c>
      <c r="F361" s="1" t="s">
        <v>766</v>
      </c>
      <c r="G361" s="1" t="s">
        <v>48</v>
      </c>
      <c r="H361" s="1" t="s">
        <v>73</v>
      </c>
      <c r="I361" s="1" t="s">
        <v>42</v>
      </c>
      <c r="J361" s="1" t="s">
        <v>25</v>
      </c>
      <c r="K361" s="1">
        <v>4</v>
      </c>
      <c r="L361" s="1">
        <v>101</v>
      </c>
      <c r="M361" s="1">
        <v>404</v>
      </c>
      <c r="N361" s="1">
        <v>0</v>
      </c>
      <c r="O361" s="1">
        <v>404</v>
      </c>
      <c r="P361" s="1" t="s">
        <v>1049</v>
      </c>
      <c r="Q361" s="1">
        <v>39</v>
      </c>
      <c r="R361" s="1" t="s">
        <v>31</v>
      </c>
      <c r="S361" s="1">
        <v>4</v>
      </c>
    </row>
    <row r="362" spans="1:19" x14ac:dyDescent="0.3">
      <c r="A362" s="1" t="s">
        <v>767</v>
      </c>
      <c r="B362" s="2">
        <v>45668</v>
      </c>
      <c r="C362" s="1" t="str">
        <f t="shared" si="10"/>
        <v>Sat</v>
      </c>
      <c r="D362" s="1" t="str">
        <f t="shared" si="11"/>
        <v>Weekend</v>
      </c>
      <c r="E362" s="3">
        <v>0.4375</v>
      </c>
      <c r="F362" s="1" t="s">
        <v>768</v>
      </c>
      <c r="G362" s="1" t="s">
        <v>28</v>
      </c>
      <c r="H362" s="1" t="s">
        <v>23</v>
      </c>
      <c r="I362" s="1" t="s">
        <v>17</v>
      </c>
      <c r="J362" s="1" t="s">
        <v>18</v>
      </c>
      <c r="K362" s="1">
        <v>6</v>
      </c>
      <c r="L362" s="1">
        <v>107</v>
      </c>
      <c r="M362" s="1">
        <v>642</v>
      </c>
      <c r="N362" s="1">
        <v>0</v>
      </c>
      <c r="O362" s="1">
        <v>642</v>
      </c>
      <c r="P362" s="1" t="s">
        <v>19</v>
      </c>
      <c r="Q362" s="1">
        <v>20</v>
      </c>
      <c r="R362" s="1" t="s">
        <v>20</v>
      </c>
      <c r="S362" s="1">
        <v>5</v>
      </c>
    </row>
    <row r="363" spans="1:19" x14ac:dyDescent="0.3">
      <c r="A363" s="1" t="s">
        <v>769</v>
      </c>
      <c r="B363" s="2">
        <v>45870</v>
      </c>
      <c r="C363" s="1" t="str">
        <f t="shared" si="10"/>
        <v>Fri</v>
      </c>
      <c r="D363" s="1" t="str">
        <f t="shared" si="11"/>
        <v>Weekday</v>
      </c>
      <c r="E363" s="3">
        <v>0.76041666666666663</v>
      </c>
      <c r="F363" s="1" t="s">
        <v>770</v>
      </c>
      <c r="G363" s="1" t="s">
        <v>28</v>
      </c>
      <c r="H363" s="1" t="s">
        <v>55</v>
      </c>
      <c r="I363" s="1" t="s">
        <v>42</v>
      </c>
      <c r="J363" s="1" t="s">
        <v>25</v>
      </c>
      <c r="K363" s="1">
        <v>6</v>
      </c>
      <c r="L363" s="1">
        <v>81</v>
      </c>
      <c r="M363" s="1">
        <v>486</v>
      </c>
      <c r="N363" s="1">
        <v>10</v>
      </c>
      <c r="O363" s="1">
        <v>476</v>
      </c>
      <c r="P363" s="1" t="s">
        <v>1049</v>
      </c>
      <c r="Q363" s="1">
        <v>53</v>
      </c>
      <c r="R363" s="1" t="s">
        <v>20</v>
      </c>
      <c r="S363" s="1"/>
    </row>
    <row r="364" spans="1:19" x14ac:dyDescent="0.3">
      <c r="A364" s="1" t="s">
        <v>771</v>
      </c>
      <c r="B364" s="2">
        <v>45962</v>
      </c>
      <c r="C364" s="1" t="str">
        <f t="shared" si="10"/>
        <v>Sat</v>
      </c>
      <c r="D364" s="1" t="str">
        <f t="shared" si="11"/>
        <v>Weekend</v>
      </c>
      <c r="E364" s="3">
        <v>0.37847222222222221</v>
      </c>
      <c r="F364" s="1" t="s">
        <v>772</v>
      </c>
      <c r="G364" s="1" t="s">
        <v>84</v>
      </c>
      <c r="H364" s="1" t="s">
        <v>73</v>
      </c>
      <c r="I364" s="1" t="s">
        <v>87</v>
      </c>
      <c r="J364" s="1" t="s">
        <v>88</v>
      </c>
      <c r="K364" s="1">
        <v>5</v>
      </c>
      <c r="L364" s="1">
        <v>119</v>
      </c>
      <c r="M364" s="1">
        <v>595</v>
      </c>
      <c r="N364" s="1">
        <v>0</v>
      </c>
      <c r="O364" s="1">
        <v>595</v>
      </c>
      <c r="P364" s="1" t="s">
        <v>38</v>
      </c>
      <c r="Q364" s="1">
        <v>28</v>
      </c>
      <c r="R364" s="1" t="s">
        <v>31</v>
      </c>
      <c r="S364" s="1">
        <v>1</v>
      </c>
    </row>
    <row r="365" spans="1:19" x14ac:dyDescent="0.3">
      <c r="A365" s="1" t="s">
        <v>773</v>
      </c>
      <c r="B365" s="2">
        <v>45658</v>
      </c>
      <c r="C365" s="1" t="str">
        <f t="shared" si="10"/>
        <v>Wed</v>
      </c>
      <c r="D365" s="1" t="str">
        <f t="shared" si="11"/>
        <v>Weekday</v>
      </c>
      <c r="E365" s="3">
        <v>0.4375</v>
      </c>
      <c r="F365" s="1" t="s">
        <v>774</v>
      </c>
      <c r="G365" s="1" t="s">
        <v>48</v>
      </c>
      <c r="H365" s="1" t="s">
        <v>16</v>
      </c>
      <c r="I365" s="1" t="s">
        <v>36</v>
      </c>
      <c r="J365" s="1" t="s">
        <v>37</v>
      </c>
      <c r="K365" s="1">
        <v>1</v>
      </c>
      <c r="L365" s="1">
        <v>118</v>
      </c>
      <c r="M365" s="1">
        <v>118</v>
      </c>
      <c r="N365" s="1">
        <v>0</v>
      </c>
      <c r="O365" s="1">
        <v>118</v>
      </c>
      <c r="P365" s="1" t="s">
        <v>1049</v>
      </c>
      <c r="Q365" s="1">
        <v>19</v>
      </c>
      <c r="R365" s="1" t="s">
        <v>31</v>
      </c>
      <c r="S365" s="1">
        <v>2</v>
      </c>
    </row>
    <row r="366" spans="1:19" x14ac:dyDescent="0.3">
      <c r="A366" s="1" t="s">
        <v>775</v>
      </c>
      <c r="B366" s="2">
        <v>45658</v>
      </c>
      <c r="C366" s="1" t="str">
        <f t="shared" si="10"/>
        <v>Wed</v>
      </c>
      <c r="D366" s="1" t="str">
        <f t="shared" si="11"/>
        <v>Weekday</v>
      </c>
      <c r="E366" s="3">
        <v>0.78125</v>
      </c>
      <c r="F366" s="1" t="s">
        <v>776</v>
      </c>
      <c r="G366" s="1" t="s">
        <v>54</v>
      </c>
      <c r="H366" s="1" t="s">
        <v>16</v>
      </c>
      <c r="I366" s="1" t="s">
        <v>36</v>
      </c>
      <c r="J366" s="1" t="s">
        <v>37</v>
      </c>
      <c r="K366" s="1">
        <v>5</v>
      </c>
      <c r="L366" s="1">
        <v>40</v>
      </c>
      <c r="M366" s="1">
        <v>200</v>
      </c>
      <c r="N366" s="1">
        <v>0</v>
      </c>
      <c r="O366" s="1">
        <v>200</v>
      </c>
      <c r="P366" s="1" t="s">
        <v>38</v>
      </c>
      <c r="Q366" s="1">
        <v>48</v>
      </c>
      <c r="R366" s="1" t="s">
        <v>31</v>
      </c>
      <c r="S366" s="1"/>
    </row>
    <row r="367" spans="1:19" x14ac:dyDescent="0.3">
      <c r="A367" s="1" t="s">
        <v>777</v>
      </c>
      <c r="B367" s="2">
        <v>45689</v>
      </c>
      <c r="C367" s="1" t="str">
        <f t="shared" si="10"/>
        <v>Sat</v>
      </c>
      <c r="D367" s="1" t="str">
        <f t="shared" si="11"/>
        <v>Weekend</v>
      </c>
      <c r="E367" s="3">
        <v>0.37847222222222221</v>
      </c>
      <c r="F367" s="1" t="s">
        <v>778</v>
      </c>
      <c r="G367" s="1" t="s">
        <v>84</v>
      </c>
      <c r="H367" s="1" t="s">
        <v>73</v>
      </c>
      <c r="I367" s="1" t="s">
        <v>74</v>
      </c>
      <c r="J367" s="1" t="s">
        <v>75</v>
      </c>
      <c r="K367" s="1">
        <v>5</v>
      </c>
      <c r="L367" s="1">
        <v>13</v>
      </c>
      <c r="M367" s="1">
        <v>65</v>
      </c>
      <c r="N367" s="1">
        <v>5</v>
      </c>
      <c r="O367" s="1">
        <v>60</v>
      </c>
      <c r="P367" s="1" t="s">
        <v>1048</v>
      </c>
      <c r="Q367" s="1">
        <v>58</v>
      </c>
      <c r="R367" s="1" t="s">
        <v>31</v>
      </c>
      <c r="S367" s="1">
        <v>5</v>
      </c>
    </row>
    <row r="368" spans="1:19" x14ac:dyDescent="0.3">
      <c r="A368" s="1" t="s">
        <v>779</v>
      </c>
      <c r="B368" s="2">
        <v>45689</v>
      </c>
      <c r="C368" s="1" t="str">
        <f t="shared" si="10"/>
        <v>Sat</v>
      </c>
      <c r="D368" s="1" t="str">
        <f t="shared" si="11"/>
        <v>Weekend</v>
      </c>
      <c r="E368" s="3">
        <v>0.76041666666666663</v>
      </c>
      <c r="F368" s="1" t="s">
        <v>780</v>
      </c>
      <c r="G368" s="1" t="s">
        <v>34</v>
      </c>
      <c r="H368" s="1" t="s">
        <v>23</v>
      </c>
      <c r="I368" s="1" t="s">
        <v>51</v>
      </c>
      <c r="J368" s="1" t="s">
        <v>18</v>
      </c>
      <c r="K368" s="1">
        <v>5</v>
      </c>
      <c r="L368" s="1">
        <v>88</v>
      </c>
      <c r="M368" s="1">
        <v>440</v>
      </c>
      <c r="N368" s="1">
        <v>0</v>
      </c>
      <c r="O368" s="1">
        <v>440</v>
      </c>
      <c r="P368" s="1" t="s">
        <v>19</v>
      </c>
      <c r="Q368" s="1">
        <v>26</v>
      </c>
      <c r="R368" s="1" t="s">
        <v>20</v>
      </c>
      <c r="S368" s="1">
        <v>5</v>
      </c>
    </row>
    <row r="369" spans="1:19" x14ac:dyDescent="0.3">
      <c r="A369" s="1" t="s">
        <v>781</v>
      </c>
      <c r="B369" s="2">
        <v>45809</v>
      </c>
      <c r="C369" s="1" t="str">
        <f t="shared" si="10"/>
        <v>Sun</v>
      </c>
      <c r="D369" s="1" t="str">
        <f t="shared" si="11"/>
        <v>Weekend</v>
      </c>
      <c r="E369" s="3">
        <v>0.37847222222222221</v>
      </c>
      <c r="F369" s="1" t="s">
        <v>782</v>
      </c>
      <c r="G369" s="1" t="s">
        <v>45</v>
      </c>
      <c r="H369" s="1" t="s">
        <v>64</v>
      </c>
      <c r="I369" s="1" t="s">
        <v>42</v>
      </c>
      <c r="J369" s="1" t="s">
        <v>25</v>
      </c>
      <c r="K369" s="1">
        <v>1</v>
      </c>
      <c r="L369" s="1">
        <v>58</v>
      </c>
      <c r="M369" s="1">
        <v>58</v>
      </c>
      <c r="N369" s="1">
        <v>10</v>
      </c>
      <c r="O369" s="1">
        <v>48</v>
      </c>
      <c r="P369" s="1" t="s">
        <v>1048</v>
      </c>
      <c r="Q369" s="1">
        <v>24</v>
      </c>
      <c r="R369" s="1" t="s">
        <v>31</v>
      </c>
      <c r="S369" s="1">
        <v>1</v>
      </c>
    </row>
    <row r="370" spans="1:19" x14ac:dyDescent="0.3">
      <c r="A370" s="1" t="s">
        <v>783</v>
      </c>
      <c r="B370" s="2">
        <v>45658</v>
      </c>
      <c r="C370" s="1" t="str">
        <f t="shared" si="10"/>
        <v>Wed</v>
      </c>
      <c r="D370" s="1" t="str">
        <f t="shared" si="11"/>
        <v>Weekday</v>
      </c>
      <c r="E370" s="3">
        <v>0.76041666666666663</v>
      </c>
      <c r="F370" s="1" t="s">
        <v>784</v>
      </c>
      <c r="G370" s="1" t="s">
        <v>28</v>
      </c>
      <c r="H370" s="1" t="s">
        <v>35</v>
      </c>
      <c r="I370" s="1" t="s">
        <v>36</v>
      </c>
      <c r="J370" s="1" t="s">
        <v>37</v>
      </c>
      <c r="K370" s="1">
        <v>3</v>
      </c>
      <c r="L370" s="1">
        <v>97</v>
      </c>
      <c r="M370" s="1">
        <v>291</v>
      </c>
      <c r="N370" s="1">
        <v>10</v>
      </c>
      <c r="O370" s="1">
        <v>281</v>
      </c>
      <c r="P370" s="1" t="s">
        <v>38</v>
      </c>
      <c r="Q370" s="1">
        <v>28</v>
      </c>
      <c r="R370" s="1" t="s">
        <v>31</v>
      </c>
      <c r="S370" s="1">
        <v>3</v>
      </c>
    </row>
    <row r="371" spans="1:19" x14ac:dyDescent="0.3">
      <c r="A371" s="1" t="s">
        <v>785</v>
      </c>
      <c r="B371" s="2">
        <v>45668</v>
      </c>
      <c r="C371" s="1" t="str">
        <f t="shared" si="10"/>
        <v>Sat</v>
      </c>
      <c r="D371" s="1" t="str">
        <f t="shared" si="11"/>
        <v>Weekend</v>
      </c>
      <c r="E371" s="3">
        <v>0.76041666666666663</v>
      </c>
      <c r="F371" s="1" t="s">
        <v>786</v>
      </c>
      <c r="G371" s="1" t="s">
        <v>1047</v>
      </c>
      <c r="H371" s="1" t="s">
        <v>35</v>
      </c>
      <c r="I371" s="1" t="s">
        <v>87</v>
      </c>
      <c r="J371" s="1" t="s">
        <v>88</v>
      </c>
      <c r="K371" s="1">
        <v>4</v>
      </c>
      <c r="L371" s="1">
        <v>89</v>
      </c>
      <c r="M371" s="1">
        <v>356</v>
      </c>
      <c r="N371" s="1">
        <v>5</v>
      </c>
      <c r="O371" s="1">
        <v>351</v>
      </c>
      <c r="P371" s="1" t="s">
        <v>1049</v>
      </c>
      <c r="Q371" s="1">
        <v>13</v>
      </c>
      <c r="R371" s="1" t="s">
        <v>20</v>
      </c>
      <c r="S371" s="1">
        <v>1</v>
      </c>
    </row>
    <row r="372" spans="1:19" x14ac:dyDescent="0.3">
      <c r="A372" s="1" t="s">
        <v>787</v>
      </c>
      <c r="B372" s="2">
        <v>45666</v>
      </c>
      <c r="C372" s="1" t="str">
        <f t="shared" si="10"/>
        <v>Thu</v>
      </c>
      <c r="D372" s="1" t="str">
        <f t="shared" si="11"/>
        <v>Weekday</v>
      </c>
      <c r="E372" s="3">
        <v>0.4375</v>
      </c>
      <c r="F372" s="1" t="s">
        <v>788</v>
      </c>
      <c r="G372" s="1" t="s">
        <v>48</v>
      </c>
      <c r="H372" s="1" t="s">
        <v>55</v>
      </c>
      <c r="I372" s="1" t="s">
        <v>30</v>
      </c>
      <c r="J372" s="1" t="s">
        <v>18</v>
      </c>
      <c r="K372" s="1">
        <v>4</v>
      </c>
      <c r="L372" s="1">
        <v>49</v>
      </c>
      <c r="M372" s="1">
        <v>196</v>
      </c>
      <c r="N372" s="1">
        <v>0</v>
      </c>
      <c r="O372" s="1">
        <v>196</v>
      </c>
      <c r="P372" s="1" t="s">
        <v>1048</v>
      </c>
      <c r="Q372" s="1">
        <v>49</v>
      </c>
      <c r="R372" s="1" t="s">
        <v>20</v>
      </c>
      <c r="S372" s="1">
        <v>5</v>
      </c>
    </row>
    <row r="373" spans="1:19" x14ac:dyDescent="0.3">
      <c r="A373" s="1" t="s">
        <v>789</v>
      </c>
      <c r="B373" s="2">
        <v>45901</v>
      </c>
      <c r="C373" s="1" t="str">
        <f t="shared" si="10"/>
        <v>Mon</v>
      </c>
      <c r="D373" s="1" t="str">
        <f t="shared" si="11"/>
        <v>Weekday</v>
      </c>
      <c r="E373" s="3">
        <v>0.76041666666666663</v>
      </c>
      <c r="F373" s="1" t="s">
        <v>790</v>
      </c>
      <c r="G373" s="1" t="s">
        <v>28</v>
      </c>
      <c r="H373" s="1" t="s">
        <v>29</v>
      </c>
      <c r="I373" s="1" t="s">
        <v>99</v>
      </c>
      <c r="J373" s="1" t="s">
        <v>100</v>
      </c>
      <c r="K373" s="1">
        <v>1</v>
      </c>
      <c r="L373" s="1">
        <v>111</v>
      </c>
      <c r="M373" s="1">
        <v>111</v>
      </c>
      <c r="N373" s="1">
        <v>5</v>
      </c>
      <c r="O373" s="1">
        <v>106</v>
      </c>
      <c r="P373" s="1" t="s">
        <v>1048</v>
      </c>
      <c r="Q373" s="1">
        <v>12</v>
      </c>
      <c r="R373" s="1" t="s">
        <v>31</v>
      </c>
      <c r="S373" s="1">
        <v>4</v>
      </c>
    </row>
    <row r="374" spans="1:19" x14ac:dyDescent="0.3">
      <c r="A374" s="1" t="s">
        <v>791</v>
      </c>
      <c r="B374" s="2">
        <v>45659</v>
      </c>
      <c r="C374" s="1" t="str">
        <f t="shared" si="10"/>
        <v>Thu</v>
      </c>
      <c r="D374" s="1" t="str">
        <f t="shared" si="11"/>
        <v>Weekday</v>
      </c>
      <c r="E374" s="3">
        <v>0.78125</v>
      </c>
      <c r="F374" s="1" t="s">
        <v>792</v>
      </c>
      <c r="G374" s="1" t="s">
        <v>28</v>
      </c>
      <c r="H374" s="1" t="s">
        <v>41</v>
      </c>
      <c r="I374" s="1" t="s">
        <v>24</v>
      </c>
      <c r="J374" s="1" t="s">
        <v>25</v>
      </c>
      <c r="K374" s="1">
        <v>3</v>
      </c>
      <c r="L374" s="1">
        <v>77</v>
      </c>
      <c r="M374" s="1">
        <v>231</v>
      </c>
      <c r="N374" s="1">
        <v>0</v>
      </c>
      <c r="O374" s="1">
        <v>231</v>
      </c>
      <c r="P374" s="1" t="s">
        <v>1049</v>
      </c>
      <c r="Q374" s="1">
        <v>43</v>
      </c>
      <c r="R374" s="1" t="s">
        <v>20</v>
      </c>
      <c r="S374" s="1">
        <v>3</v>
      </c>
    </row>
    <row r="375" spans="1:19" x14ac:dyDescent="0.3">
      <c r="A375" s="1" t="s">
        <v>793</v>
      </c>
      <c r="B375" s="2">
        <v>45660</v>
      </c>
      <c r="C375" s="1" t="str">
        <f t="shared" si="10"/>
        <v>Fri</v>
      </c>
      <c r="D375" s="1" t="str">
        <f t="shared" si="11"/>
        <v>Weekday</v>
      </c>
      <c r="E375" s="3">
        <v>0.78125</v>
      </c>
      <c r="F375" s="1" t="s">
        <v>794</v>
      </c>
      <c r="G375" s="1" t="s">
        <v>54</v>
      </c>
      <c r="H375" s="1" t="s">
        <v>23</v>
      </c>
      <c r="I375" s="1" t="s">
        <v>30</v>
      </c>
      <c r="J375" s="1" t="s">
        <v>18</v>
      </c>
      <c r="K375" s="1">
        <v>1</v>
      </c>
      <c r="L375" s="1">
        <v>33</v>
      </c>
      <c r="M375" s="1">
        <v>43</v>
      </c>
      <c r="N375" s="1">
        <v>5</v>
      </c>
      <c r="O375" s="1">
        <v>28</v>
      </c>
      <c r="P375" s="1" t="s">
        <v>1048</v>
      </c>
      <c r="Q375" s="1">
        <v>50</v>
      </c>
      <c r="R375" s="1" t="s">
        <v>20</v>
      </c>
      <c r="S375" s="1">
        <v>5</v>
      </c>
    </row>
    <row r="376" spans="1:19" x14ac:dyDescent="0.3">
      <c r="A376" s="1" t="s">
        <v>795</v>
      </c>
      <c r="B376" s="2">
        <v>45931</v>
      </c>
      <c r="C376" s="1" t="str">
        <f t="shared" si="10"/>
        <v>Wed</v>
      </c>
      <c r="D376" s="1" t="str">
        <f t="shared" si="11"/>
        <v>Weekday</v>
      </c>
      <c r="E376" s="3">
        <v>0.76041666666666663</v>
      </c>
      <c r="F376" s="1" t="s">
        <v>796</v>
      </c>
      <c r="G376" s="1" t="s">
        <v>28</v>
      </c>
      <c r="H376" s="1" t="s">
        <v>29</v>
      </c>
      <c r="I376" s="1" t="s">
        <v>36</v>
      </c>
      <c r="J376" s="1" t="s">
        <v>37</v>
      </c>
      <c r="K376" s="1">
        <v>3</v>
      </c>
      <c r="L376" s="1">
        <v>71</v>
      </c>
      <c r="M376" s="1">
        <v>213</v>
      </c>
      <c r="N376" s="1">
        <v>0</v>
      </c>
      <c r="O376" s="1">
        <v>213</v>
      </c>
      <c r="P376" s="1" t="s">
        <v>1048</v>
      </c>
      <c r="Q376" s="1">
        <v>25</v>
      </c>
      <c r="R376" s="1" t="s">
        <v>31</v>
      </c>
      <c r="S376" s="1"/>
    </row>
    <row r="377" spans="1:19" x14ac:dyDescent="0.3">
      <c r="A377" s="1" t="s">
        <v>797</v>
      </c>
      <c r="B377" s="2">
        <v>45748</v>
      </c>
      <c r="C377" s="1" t="str">
        <f t="shared" si="10"/>
        <v>Tue</v>
      </c>
      <c r="D377" s="1" t="str">
        <f t="shared" si="11"/>
        <v>Weekday</v>
      </c>
      <c r="E377" s="3">
        <v>0.4375</v>
      </c>
      <c r="F377" s="1" t="s">
        <v>798</v>
      </c>
      <c r="G377" s="1" t="s">
        <v>48</v>
      </c>
      <c r="H377" s="1" t="s">
        <v>23</v>
      </c>
      <c r="I377" s="1" t="s">
        <v>24</v>
      </c>
      <c r="J377" s="1" t="s">
        <v>25</v>
      </c>
      <c r="K377" s="1">
        <v>1</v>
      </c>
      <c r="L377" s="1">
        <v>92</v>
      </c>
      <c r="M377" s="1">
        <v>92</v>
      </c>
      <c r="N377" s="1">
        <v>10</v>
      </c>
      <c r="O377" s="1">
        <v>82</v>
      </c>
      <c r="P377" s="1" t="s">
        <v>19</v>
      </c>
      <c r="Q377" s="1">
        <v>41</v>
      </c>
      <c r="R377" s="1" t="s">
        <v>31</v>
      </c>
      <c r="S377" s="1"/>
    </row>
    <row r="378" spans="1:19" x14ac:dyDescent="0.3">
      <c r="A378" s="1" t="s">
        <v>799</v>
      </c>
      <c r="B378" s="2">
        <v>45870</v>
      </c>
      <c r="C378" s="1" t="str">
        <f t="shared" si="10"/>
        <v>Fri</v>
      </c>
      <c r="D378" s="1" t="str">
        <f t="shared" si="11"/>
        <v>Weekday</v>
      </c>
      <c r="E378" s="3">
        <v>0.37847222222222221</v>
      </c>
      <c r="F378" s="1" t="s">
        <v>800</v>
      </c>
      <c r="G378" s="1" t="s">
        <v>54</v>
      </c>
      <c r="H378" s="1" t="s">
        <v>16</v>
      </c>
      <c r="I378" s="1" t="s">
        <v>24</v>
      </c>
      <c r="J378" s="1" t="s">
        <v>25</v>
      </c>
      <c r="K378" s="1">
        <v>6</v>
      </c>
      <c r="L378" s="1">
        <v>54</v>
      </c>
      <c r="M378" s="1">
        <v>324</v>
      </c>
      <c r="N378" s="1">
        <v>10</v>
      </c>
      <c r="O378" s="1">
        <v>314</v>
      </c>
      <c r="P378" s="1" t="s">
        <v>19</v>
      </c>
      <c r="Q378" s="1">
        <v>36</v>
      </c>
      <c r="R378" s="1" t="s">
        <v>20</v>
      </c>
      <c r="S378" s="1">
        <v>2</v>
      </c>
    </row>
    <row r="379" spans="1:19" x14ac:dyDescent="0.3">
      <c r="A379" s="1" t="s">
        <v>801</v>
      </c>
      <c r="B379" s="2">
        <v>45809</v>
      </c>
      <c r="C379" s="1" t="str">
        <f t="shared" si="10"/>
        <v>Sun</v>
      </c>
      <c r="D379" s="1" t="str">
        <f t="shared" si="11"/>
        <v>Weekend</v>
      </c>
      <c r="E379" s="3">
        <v>0.78125</v>
      </c>
      <c r="F379" s="1" t="s">
        <v>802</v>
      </c>
      <c r="G379" s="1" t="s">
        <v>48</v>
      </c>
      <c r="H379" s="1" t="s">
        <v>73</v>
      </c>
      <c r="I379" s="1" t="s">
        <v>87</v>
      </c>
      <c r="J379" s="1" t="s">
        <v>88</v>
      </c>
      <c r="K379" s="1">
        <v>6</v>
      </c>
      <c r="L379" s="1">
        <v>98</v>
      </c>
      <c r="M379" s="1">
        <v>588</v>
      </c>
      <c r="N379" s="1">
        <v>0</v>
      </c>
      <c r="O379" s="1">
        <v>588</v>
      </c>
      <c r="P379" s="1" t="s">
        <v>19</v>
      </c>
      <c r="Q379" s="1">
        <v>20</v>
      </c>
      <c r="R379" s="1" t="s">
        <v>20</v>
      </c>
      <c r="S379" s="1">
        <v>4</v>
      </c>
    </row>
    <row r="380" spans="1:19" x14ac:dyDescent="0.3">
      <c r="A380" s="1" t="s">
        <v>803</v>
      </c>
      <c r="B380" s="2">
        <v>45663</v>
      </c>
      <c r="C380" s="1" t="str">
        <f t="shared" si="10"/>
        <v>Mon</v>
      </c>
      <c r="D380" s="1" t="str">
        <f t="shared" si="11"/>
        <v>Weekday</v>
      </c>
      <c r="E380" s="3">
        <v>0.37847222222222221</v>
      </c>
      <c r="F380" s="1" t="s">
        <v>804</v>
      </c>
      <c r="G380" s="1" t="s">
        <v>48</v>
      </c>
      <c r="H380" s="1" t="s">
        <v>23</v>
      </c>
      <c r="I380" s="1" t="s">
        <v>24</v>
      </c>
      <c r="J380" s="1" t="s">
        <v>25</v>
      </c>
      <c r="K380" s="1">
        <v>6</v>
      </c>
      <c r="L380" s="1">
        <v>15</v>
      </c>
      <c r="M380" s="1">
        <v>90</v>
      </c>
      <c r="N380" s="1">
        <v>5</v>
      </c>
      <c r="O380" s="1">
        <v>85</v>
      </c>
      <c r="P380" s="1" t="s">
        <v>1049</v>
      </c>
      <c r="Q380" s="1">
        <v>50</v>
      </c>
      <c r="R380" s="1" t="s">
        <v>20</v>
      </c>
      <c r="S380" s="1">
        <v>1</v>
      </c>
    </row>
    <row r="381" spans="1:19" x14ac:dyDescent="0.3">
      <c r="A381" s="1" t="s">
        <v>805</v>
      </c>
      <c r="B381" s="2">
        <v>45667</v>
      </c>
      <c r="C381" s="1" t="str">
        <f t="shared" si="10"/>
        <v>Fri</v>
      </c>
      <c r="D381" s="1" t="str">
        <f t="shared" si="11"/>
        <v>Weekday</v>
      </c>
      <c r="E381" s="3">
        <v>0.78125</v>
      </c>
      <c r="F381" s="1" t="s">
        <v>806</v>
      </c>
      <c r="G381" s="1" t="s">
        <v>1047</v>
      </c>
      <c r="H381" s="1" t="s">
        <v>35</v>
      </c>
      <c r="I381" s="1" t="s">
        <v>36</v>
      </c>
      <c r="J381" s="1" t="s">
        <v>37</v>
      </c>
      <c r="K381" s="1">
        <v>4</v>
      </c>
      <c r="L381" s="1">
        <v>32</v>
      </c>
      <c r="M381" s="1">
        <v>128</v>
      </c>
      <c r="N381" s="1">
        <v>0</v>
      </c>
      <c r="O381" s="1">
        <v>128</v>
      </c>
      <c r="P381" s="1" t="s">
        <v>1049</v>
      </c>
      <c r="Q381" s="1">
        <v>40</v>
      </c>
      <c r="R381" s="1" t="s">
        <v>31</v>
      </c>
      <c r="S381" s="1">
        <v>2</v>
      </c>
    </row>
    <row r="382" spans="1:19" x14ac:dyDescent="0.3">
      <c r="A382" s="1" t="s">
        <v>807</v>
      </c>
      <c r="B382" s="2">
        <v>45660</v>
      </c>
      <c r="C382" s="1" t="str">
        <f t="shared" si="10"/>
        <v>Fri</v>
      </c>
      <c r="D382" s="1" t="str">
        <f t="shared" si="11"/>
        <v>Weekday</v>
      </c>
      <c r="E382" s="3">
        <v>0.76041666666666663</v>
      </c>
      <c r="F382" s="1" t="s">
        <v>808</v>
      </c>
      <c r="G382" s="1" t="s">
        <v>34</v>
      </c>
      <c r="H382" s="1" t="s">
        <v>16</v>
      </c>
      <c r="I382" s="1" t="s">
        <v>30</v>
      </c>
      <c r="J382" s="1" t="s">
        <v>18</v>
      </c>
      <c r="K382" s="1">
        <v>4</v>
      </c>
      <c r="L382" s="1">
        <v>115</v>
      </c>
      <c r="M382" s="1">
        <v>460</v>
      </c>
      <c r="N382" s="1">
        <v>0</v>
      </c>
      <c r="O382" s="1">
        <v>460</v>
      </c>
      <c r="P382" s="1" t="s">
        <v>19</v>
      </c>
      <c r="Q382" s="1">
        <v>29</v>
      </c>
      <c r="R382" s="1" t="s">
        <v>31</v>
      </c>
      <c r="S382" s="1">
        <v>2</v>
      </c>
    </row>
    <row r="383" spans="1:19" x14ac:dyDescent="0.3">
      <c r="A383" s="1" t="s">
        <v>809</v>
      </c>
      <c r="B383" s="2">
        <v>45870</v>
      </c>
      <c r="C383" s="1" t="str">
        <f t="shared" si="10"/>
        <v>Fri</v>
      </c>
      <c r="D383" s="1" t="str">
        <f t="shared" si="11"/>
        <v>Weekday</v>
      </c>
      <c r="E383" s="3">
        <v>0.78125</v>
      </c>
      <c r="F383" s="1" t="s">
        <v>810</v>
      </c>
      <c r="G383" s="1" t="s">
        <v>84</v>
      </c>
      <c r="H383" s="1" t="s">
        <v>55</v>
      </c>
      <c r="I383" s="1" t="s">
        <v>99</v>
      </c>
      <c r="J383" s="1" t="s">
        <v>100</v>
      </c>
      <c r="K383" s="1">
        <v>1</v>
      </c>
      <c r="L383" s="1">
        <v>47</v>
      </c>
      <c r="M383" s="1">
        <v>47</v>
      </c>
      <c r="N383" s="1">
        <v>0</v>
      </c>
      <c r="O383" s="1">
        <v>47</v>
      </c>
      <c r="P383" s="1" t="s">
        <v>19</v>
      </c>
      <c r="Q383" s="1">
        <v>14</v>
      </c>
      <c r="R383" s="1" t="s">
        <v>31</v>
      </c>
      <c r="S383" s="1">
        <v>2</v>
      </c>
    </row>
    <row r="384" spans="1:19" x14ac:dyDescent="0.3">
      <c r="A384" s="1" t="s">
        <v>811</v>
      </c>
      <c r="B384" s="2">
        <v>45663</v>
      </c>
      <c r="C384" s="1" t="str">
        <f t="shared" si="10"/>
        <v>Mon</v>
      </c>
      <c r="D384" s="1" t="str">
        <f t="shared" si="11"/>
        <v>Weekday</v>
      </c>
      <c r="E384" s="3">
        <v>0.4375</v>
      </c>
      <c r="F384" s="1" t="s">
        <v>812</v>
      </c>
      <c r="G384" s="1" t="s">
        <v>48</v>
      </c>
      <c r="H384" s="1" t="s">
        <v>64</v>
      </c>
      <c r="I384" s="1" t="s">
        <v>99</v>
      </c>
      <c r="J384" s="1" t="s">
        <v>100</v>
      </c>
      <c r="K384" s="1">
        <v>1</v>
      </c>
      <c r="L384" s="1">
        <v>28</v>
      </c>
      <c r="M384" s="1">
        <v>28</v>
      </c>
      <c r="N384" s="1">
        <v>10</v>
      </c>
      <c r="O384" s="1">
        <v>18</v>
      </c>
      <c r="P384" s="1" t="s">
        <v>1049</v>
      </c>
      <c r="Q384" s="1">
        <v>52</v>
      </c>
      <c r="R384" s="1" t="s">
        <v>20</v>
      </c>
      <c r="S384" s="1">
        <v>5</v>
      </c>
    </row>
    <row r="385" spans="1:19" x14ac:dyDescent="0.3">
      <c r="A385" s="1" t="s">
        <v>813</v>
      </c>
      <c r="B385" s="2">
        <v>45663</v>
      </c>
      <c r="C385" s="1" t="str">
        <f t="shared" si="10"/>
        <v>Mon</v>
      </c>
      <c r="D385" s="1" t="str">
        <f t="shared" si="11"/>
        <v>Weekday</v>
      </c>
      <c r="E385" s="3">
        <v>0.76041666666666663</v>
      </c>
      <c r="F385" s="1" t="s">
        <v>814</v>
      </c>
      <c r="G385" s="1" t="s">
        <v>48</v>
      </c>
      <c r="H385" s="1" t="s">
        <v>23</v>
      </c>
      <c r="I385" s="1" t="s">
        <v>24</v>
      </c>
      <c r="J385" s="1" t="s">
        <v>25</v>
      </c>
      <c r="K385" s="1">
        <v>5</v>
      </c>
      <c r="L385" s="1">
        <v>80</v>
      </c>
      <c r="M385" s="1">
        <v>400</v>
      </c>
      <c r="N385" s="1">
        <v>0</v>
      </c>
      <c r="O385" s="1">
        <v>400</v>
      </c>
      <c r="P385" s="1" t="s">
        <v>1048</v>
      </c>
      <c r="Q385" s="1">
        <v>56</v>
      </c>
      <c r="R385" s="1" t="s">
        <v>20</v>
      </c>
      <c r="S385" s="1">
        <v>2</v>
      </c>
    </row>
    <row r="386" spans="1:19" x14ac:dyDescent="0.3">
      <c r="A386" s="1" t="s">
        <v>815</v>
      </c>
      <c r="B386" s="2">
        <v>45778</v>
      </c>
      <c r="C386" s="1" t="str">
        <f t="shared" ref="C386:C449" si="12">TEXT(B386,"DDD")</f>
        <v>Thu</v>
      </c>
      <c r="D386" s="1" t="str">
        <f t="shared" si="11"/>
        <v>Weekday</v>
      </c>
      <c r="E386" s="3">
        <v>0.76041666666666663</v>
      </c>
      <c r="F386" s="1" t="s">
        <v>816</v>
      </c>
      <c r="G386" s="1" t="s">
        <v>34</v>
      </c>
      <c r="H386" s="1" t="s">
        <v>29</v>
      </c>
      <c r="I386" s="1" t="s">
        <v>30</v>
      </c>
      <c r="J386" s="1" t="s">
        <v>18</v>
      </c>
      <c r="K386" s="1">
        <v>4</v>
      </c>
      <c r="L386" s="1">
        <v>89</v>
      </c>
      <c r="M386" s="1">
        <v>356</v>
      </c>
      <c r="N386" s="1">
        <v>0</v>
      </c>
      <c r="O386" s="1">
        <v>356</v>
      </c>
      <c r="P386" s="1" t="s">
        <v>1049</v>
      </c>
      <c r="Q386" s="1">
        <v>20</v>
      </c>
      <c r="R386" s="1" t="s">
        <v>31</v>
      </c>
      <c r="S386" s="1">
        <v>2</v>
      </c>
    </row>
    <row r="387" spans="1:19" x14ac:dyDescent="0.3">
      <c r="A387" s="1" t="s">
        <v>817</v>
      </c>
      <c r="B387" s="2">
        <v>45658</v>
      </c>
      <c r="C387" s="1" t="str">
        <f t="shared" si="12"/>
        <v>Wed</v>
      </c>
      <c r="D387" s="1" t="str">
        <f t="shared" ref="D387:D450" si="13">IF(OR(C387="Sat",C387="Sun"),"Weekend","Weekday")</f>
        <v>Weekday</v>
      </c>
      <c r="E387" s="3">
        <v>0.78125</v>
      </c>
      <c r="F387" s="1" t="s">
        <v>818</v>
      </c>
      <c r="G387" s="1" t="s">
        <v>28</v>
      </c>
      <c r="H387" s="1" t="s">
        <v>55</v>
      </c>
      <c r="I387" s="1" t="s">
        <v>24</v>
      </c>
      <c r="J387" s="1" t="s">
        <v>25</v>
      </c>
      <c r="K387" s="1">
        <v>6</v>
      </c>
      <c r="L387" s="1">
        <v>61</v>
      </c>
      <c r="M387" s="1">
        <v>366</v>
      </c>
      <c r="N387" s="1">
        <v>5</v>
      </c>
      <c r="O387" s="1">
        <v>361</v>
      </c>
      <c r="P387" s="1" t="s">
        <v>1049</v>
      </c>
      <c r="Q387" s="1">
        <v>16</v>
      </c>
      <c r="R387" s="1" t="s">
        <v>31</v>
      </c>
      <c r="S387" s="1">
        <v>4</v>
      </c>
    </row>
    <row r="388" spans="1:19" x14ac:dyDescent="0.3">
      <c r="A388" s="1" t="s">
        <v>819</v>
      </c>
      <c r="B388" s="2">
        <v>45839</v>
      </c>
      <c r="C388" s="1" t="str">
        <f t="shared" si="12"/>
        <v>Tue</v>
      </c>
      <c r="D388" s="1" t="str">
        <f t="shared" si="13"/>
        <v>Weekday</v>
      </c>
      <c r="E388" s="3">
        <v>0.37847222222222221</v>
      </c>
      <c r="F388" s="1" t="s">
        <v>820</v>
      </c>
      <c r="G388" s="1" t="s">
        <v>34</v>
      </c>
      <c r="H388" s="1" t="s">
        <v>64</v>
      </c>
      <c r="I388" s="1" t="s">
        <v>99</v>
      </c>
      <c r="J388" s="1" t="s">
        <v>100</v>
      </c>
      <c r="K388" s="1">
        <v>3</v>
      </c>
      <c r="L388" s="1">
        <v>16</v>
      </c>
      <c r="M388" s="1">
        <v>58</v>
      </c>
      <c r="N388" s="1">
        <v>10</v>
      </c>
      <c r="O388" s="1">
        <v>38</v>
      </c>
      <c r="P388" s="1" t="s">
        <v>1048</v>
      </c>
      <c r="Q388" s="1">
        <v>45</v>
      </c>
      <c r="R388" s="1" t="s">
        <v>20</v>
      </c>
      <c r="S388" s="1"/>
    </row>
    <row r="389" spans="1:19" x14ac:dyDescent="0.3">
      <c r="A389" s="1" t="s">
        <v>821</v>
      </c>
      <c r="B389" s="2">
        <v>45658</v>
      </c>
      <c r="C389" s="1" t="str">
        <f t="shared" si="12"/>
        <v>Wed</v>
      </c>
      <c r="D389" s="1" t="str">
        <f t="shared" si="13"/>
        <v>Weekday</v>
      </c>
      <c r="E389" s="3">
        <v>0.78125</v>
      </c>
      <c r="F389" s="1" t="s">
        <v>822</v>
      </c>
      <c r="G389" s="1" t="s">
        <v>34</v>
      </c>
      <c r="H389" s="1" t="s">
        <v>29</v>
      </c>
      <c r="I389" s="1" t="s">
        <v>87</v>
      </c>
      <c r="J389" s="1" t="s">
        <v>88</v>
      </c>
      <c r="K389" s="1">
        <v>4</v>
      </c>
      <c r="L389" s="1">
        <v>83</v>
      </c>
      <c r="M389" s="1">
        <v>332</v>
      </c>
      <c r="N389" s="1">
        <v>0</v>
      </c>
      <c r="O389" s="1">
        <v>332</v>
      </c>
      <c r="P389" s="1" t="s">
        <v>1049</v>
      </c>
      <c r="Q389" s="1">
        <v>58</v>
      </c>
      <c r="R389" s="1" t="s">
        <v>20</v>
      </c>
      <c r="S389" s="1">
        <v>2</v>
      </c>
    </row>
    <row r="390" spans="1:19" x14ac:dyDescent="0.3">
      <c r="A390" s="1" t="s">
        <v>823</v>
      </c>
      <c r="B390" s="2">
        <v>45809</v>
      </c>
      <c r="C390" s="1" t="str">
        <f t="shared" si="12"/>
        <v>Sun</v>
      </c>
      <c r="D390" s="1" t="str">
        <f t="shared" si="13"/>
        <v>Weekend</v>
      </c>
      <c r="E390" s="3">
        <v>0.78125</v>
      </c>
      <c r="F390" s="1" t="s">
        <v>824</v>
      </c>
      <c r="G390" s="1" t="s">
        <v>1047</v>
      </c>
      <c r="H390" s="1" t="s">
        <v>16</v>
      </c>
      <c r="I390" s="1" t="s">
        <v>42</v>
      </c>
      <c r="J390" s="1" t="s">
        <v>25</v>
      </c>
      <c r="K390" s="1">
        <v>4</v>
      </c>
      <c r="L390" s="1">
        <v>57</v>
      </c>
      <c r="M390" s="1">
        <v>228</v>
      </c>
      <c r="N390" s="1">
        <v>0</v>
      </c>
      <c r="O390" s="1">
        <v>228</v>
      </c>
      <c r="P390" s="1" t="s">
        <v>19</v>
      </c>
      <c r="Q390" s="1">
        <v>28</v>
      </c>
      <c r="R390" s="1" t="s">
        <v>31</v>
      </c>
      <c r="S390" s="1">
        <v>2</v>
      </c>
    </row>
    <row r="391" spans="1:19" x14ac:dyDescent="0.3">
      <c r="A391" s="1" t="s">
        <v>825</v>
      </c>
      <c r="B391" s="2">
        <v>45962</v>
      </c>
      <c r="C391" s="1" t="str">
        <f t="shared" si="12"/>
        <v>Sat</v>
      </c>
      <c r="D391" s="1" t="str">
        <f t="shared" si="13"/>
        <v>Weekend</v>
      </c>
      <c r="E391" s="3">
        <v>0.76041666666666663</v>
      </c>
      <c r="F391" s="1" t="s">
        <v>826</v>
      </c>
      <c r="G391" s="1" t="s">
        <v>34</v>
      </c>
      <c r="H391" s="1" t="s">
        <v>64</v>
      </c>
      <c r="I391" s="1" t="s">
        <v>74</v>
      </c>
      <c r="J391" s="1" t="s">
        <v>75</v>
      </c>
      <c r="K391" s="1">
        <v>3</v>
      </c>
      <c r="L391" s="1">
        <v>57</v>
      </c>
      <c r="M391" s="1">
        <v>171</v>
      </c>
      <c r="N391" s="1">
        <v>10</v>
      </c>
      <c r="O391" s="1">
        <v>161</v>
      </c>
      <c r="P391" s="1" t="s">
        <v>1048</v>
      </c>
      <c r="Q391" s="1">
        <v>29</v>
      </c>
      <c r="R391" s="1" t="s">
        <v>20</v>
      </c>
      <c r="S391" s="1">
        <v>5</v>
      </c>
    </row>
    <row r="392" spans="1:19" x14ac:dyDescent="0.3">
      <c r="A392" s="1" t="s">
        <v>827</v>
      </c>
      <c r="B392" s="2">
        <v>45664</v>
      </c>
      <c r="C392" s="1" t="str">
        <f t="shared" si="12"/>
        <v>Tue</v>
      </c>
      <c r="D392" s="1" t="str">
        <f t="shared" si="13"/>
        <v>Weekday</v>
      </c>
      <c r="E392" s="3">
        <v>0.4375</v>
      </c>
      <c r="F392" s="1" t="s">
        <v>828</v>
      </c>
      <c r="G392" s="1" t="s">
        <v>34</v>
      </c>
      <c r="H392" s="1" t="s">
        <v>64</v>
      </c>
      <c r="I392" s="1" t="s">
        <v>36</v>
      </c>
      <c r="J392" s="1" t="s">
        <v>37</v>
      </c>
      <c r="K392" s="1">
        <v>2</v>
      </c>
      <c r="L392" s="1">
        <v>54</v>
      </c>
      <c r="M392" s="1">
        <v>108</v>
      </c>
      <c r="N392" s="1">
        <v>0</v>
      </c>
      <c r="O392" s="1">
        <v>108</v>
      </c>
      <c r="P392" s="1" t="s">
        <v>38</v>
      </c>
      <c r="Q392" s="1">
        <v>21</v>
      </c>
      <c r="R392" s="1" t="s">
        <v>31</v>
      </c>
      <c r="S392" s="1">
        <v>3</v>
      </c>
    </row>
    <row r="393" spans="1:19" x14ac:dyDescent="0.3">
      <c r="A393" s="1" t="s">
        <v>829</v>
      </c>
      <c r="B393" s="2">
        <v>45839</v>
      </c>
      <c r="C393" s="1" t="str">
        <f t="shared" si="12"/>
        <v>Tue</v>
      </c>
      <c r="D393" s="1" t="str">
        <f t="shared" si="13"/>
        <v>Weekday</v>
      </c>
      <c r="E393" s="3">
        <v>0.78125</v>
      </c>
      <c r="F393" s="1" t="s">
        <v>830</v>
      </c>
      <c r="G393" s="1" t="s">
        <v>54</v>
      </c>
      <c r="H393" s="1" t="s">
        <v>41</v>
      </c>
      <c r="I393" s="1" t="s">
        <v>30</v>
      </c>
      <c r="J393" s="1" t="s">
        <v>18</v>
      </c>
      <c r="K393" s="1">
        <v>4</v>
      </c>
      <c r="L393" s="1">
        <v>71</v>
      </c>
      <c r="M393" s="1">
        <v>284</v>
      </c>
      <c r="N393" s="1">
        <v>0</v>
      </c>
      <c r="O393" s="1">
        <v>284</v>
      </c>
      <c r="P393" s="1" t="s">
        <v>1048</v>
      </c>
      <c r="Q393" s="1">
        <v>34</v>
      </c>
      <c r="R393" s="1" t="s">
        <v>20</v>
      </c>
      <c r="S393" s="1"/>
    </row>
    <row r="394" spans="1:19" x14ac:dyDescent="0.3">
      <c r="A394" s="1" t="s">
        <v>831</v>
      </c>
      <c r="B394" s="2">
        <v>45901</v>
      </c>
      <c r="C394" s="1" t="str">
        <f t="shared" si="12"/>
        <v>Mon</v>
      </c>
      <c r="D394" s="1" t="str">
        <f t="shared" si="13"/>
        <v>Weekday</v>
      </c>
      <c r="E394" s="3">
        <v>0.37847222222222221</v>
      </c>
      <c r="F394" s="1" t="s">
        <v>832</v>
      </c>
      <c r="G394" s="1" t="s">
        <v>28</v>
      </c>
      <c r="H394" s="1" t="s">
        <v>35</v>
      </c>
      <c r="I394" s="1" t="s">
        <v>36</v>
      </c>
      <c r="J394" s="1" t="s">
        <v>37</v>
      </c>
      <c r="K394" s="1">
        <v>1</v>
      </c>
      <c r="L394" s="1">
        <v>111</v>
      </c>
      <c r="M394" s="1">
        <v>111</v>
      </c>
      <c r="N394" s="1">
        <v>5</v>
      </c>
      <c r="O394" s="1">
        <v>106</v>
      </c>
      <c r="P394" s="1" t="s">
        <v>1048</v>
      </c>
      <c r="Q394" s="1">
        <v>18</v>
      </c>
      <c r="R394" s="1" t="s">
        <v>20</v>
      </c>
      <c r="S394" s="1"/>
    </row>
    <row r="395" spans="1:19" x14ac:dyDescent="0.3">
      <c r="A395" s="1" t="s">
        <v>833</v>
      </c>
      <c r="B395" s="2">
        <v>45662</v>
      </c>
      <c r="C395" s="1" t="str">
        <f t="shared" si="12"/>
        <v>Sun</v>
      </c>
      <c r="D395" s="1" t="str">
        <f t="shared" si="13"/>
        <v>Weekend</v>
      </c>
      <c r="E395" s="3">
        <v>0.76041666666666663</v>
      </c>
      <c r="F395" s="1" t="s">
        <v>834</v>
      </c>
      <c r="G395" s="1" t="s">
        <v>34</v>
      </c>
      <c r="H395" s="1" t="s">
        <v>73</v>
      </c>
      <c r="I395" s="1" t="s">
        <v>30</v>
      </c>
      <c r="J395" s="1" t="s">
        <v>18</v>
      </c>
      <c r="K395" s="1">
        <v>5</v>
      </c>
      <c r="L395" s="1">
        <v>105</v>
      </c>
      <c r="M395" s="1">
        <v>525</v>
      </c>
      <c r="N395" s="1">
        <v>10</v>
      </c>
      <c r="O395" s="1">
        <v>515</v>
      </c>
      <c r="P395" s="1" t="s">
        <v>1048</v>
      </c>
      <c r="Q395" s="1">
        <v>35</v>
      </c>
      <c r="R395" s="1" t="s">
        <v>20</v>
      </c>
      <c r="S395" s="1">
        <v>5</v>
      </c>
    </row>
    <row r="396" spans="1:19" x14ac:dyDescent="0.3">
      <c r="A396" s="1" t="s">
        <v>835</v>
      </c>
      <c r="B396" s="2">
        <v>45870</v>
      </c>
      <c r="C396" s="1" t="str">
        <f t="shared" si="12"/>
        <v>Fri</v>
      </c>
      <c r="D396" s="1" t="str">
        <f t="shared" si="13"/>
        <v>Weekday</v>
      </c>
      <c r="E396" s="3">
        <v>0.4375</v>
      </c>
      <c r="F396" s="1" t="s">
        <v>836</v>
      </c>
      <c r="G396" s="1" t="s">
        <v>1047</v>
      </c>
      <c r="H396" s="1" t="s">
        <v>16</v>
      </c>
      <c r="I396" s="1" t="s">
        <v>51</v>
      </c>
      <c r="J396" s="1" t="s">
        <v>18</v>
      </c>
      <c r="K396" s="1">
        <v>3</v>
      </c>
      <c r="L396" s="1">
        <v>35</v>
      </c>
      <c r="M396" s="1">
        <v>105</v>
      </c>
      <c r="N396" s="1">
        <v>10</v>
      </c>
      <c r="O396" s="1">
        <v>95</v>
      </c>
      <c r="P396" s="1" t="s">
        <v>38</v>
      </c>
      <c r="Q396" s="1">
        <v>16</v>
      </c>
      <c r="R396" s="1" t="s">
        <v>31</v>
      </c>
      <c r="S396" s="1">
        <v>1</v>
      </c>
    </row>
    <row r="397" spans="1:19" x14ac:dyDescent="0.3">
      <c r="A397" s="1" t="s">
        <v>837</v>
      </c>
      <c r="B397" s="2">
        <v>45689</v>
      </c>
      <c r="C397" s="1" t="str">
        <f t="shared" si="12"/>
        <v>Sat</v>
      </c>
      <c r="D397" s="1" t="str">
        <f t="shared" si="13"/>
        <v>Weekend</v>
      </c>
      <c r="E397" s="3">
        <v>0.37847222222222221</v>
      </c>
      <c r="F397" s="1" t="s">
        <v>838</v>
      </c>
      <c r="G397" s="1" t="s">
        <v>28</v>
      </c>
      <c r="H397" s="1" t="s">
        <v>29</v>
      </c>
      <c r="I397" s="1" t="s">
        <v>51</v>
      </c>
      <c r="J397" s="1" t="s">
        <v>18</v>
      </c>
      <c r="K397" s="1">
        <v>5</v>
      </c>
      <c r="L397" s="1">
        <v>106</v>
      </c>
      <c r="M397" s="1">
        <v>530</v>
      </c>
      <c r="N397" s="1">
        <v>0</v>
      </c>
      <c r="O397" s="1">
        <v>530</v>
      </c>
      <c r="P397" s="1" t="s">
        <v>1048</v>
      </c>
      <c r="Q397" s="1">
        <v>59</v>
      </c>
      <c r="R397" s="1" t="s">
        <v>20</v>
      </c>
      <c r="S397" s="1">
        <v>3</v>
      </c>
    </row>
    <row r="398" spans="1:19" x14ac:dyDescent="0.3">
      <c r="A398" s="1" t="s">
        <v>839</v>
      </c>
      <c r="B398" s="2">
        <v>45809</v>
      </c>
      <c r="C398" s="1" t="str">
        <f t="shared" si="12"/>
        <v>Sun</v>
      </c>
      <c r="D398" s="1" t="str">
        <f t="shared" si="13"/>
        <v>Weekend</v>
      </c>
      <c r="E398" s="3">
        <v>0.76041666666666663</v>
      </c>
      <c r="F398" s="1" t="s">
        <v>840</v>
      </c>
      <c r="G398" s="1" t="s">
        <v>54</v>
      </c>
      <c r="H398" s="1" t="s">
        <v>73</v>
      </c>
      <c r="I398" s="1" t="s">
        <v>99</v>
      </c>
      <c r="J398" s="1" t="s">
        <v>100</v>
      </c>
      <c r="K398" s="1">
        <v>6</v>
      </c>
      <c r="L398" s="1">
        <v>51</v>
      </c>
      <c r="M398" s="1">
        <v>306</v>
      </c>
      <c r="N398" s="1">
        <v>5</v>
      </c>
      <c r="O398" s="1">
        <v>301</v>
      </c>
      <c r="P398" s="1" t="s">
        <v>1048</v>
      </c>
      <c r="Q398" s="1">
        <v>11</v>
      </c>
      <c r="R398" s="1" t="s">
        <v>20</v>
      </c>
      <c r="S398" s="1">
        <v>4</v>
      </c>
    </row>
    <row r="399" spans="1:19" x14ac:dyDescent="0.3">
      <c r="A399" s="1" t="s">
        <v>841</v>
      </c>
      <c r="B399" s="2">
        <v>45748</v>
      </c>
      <c r="C399" s="1" t="str">
        <f t="shared" si="12"/>
        <v>Tue</v>
      </c>
      <c r="D399" s="1" t="str">
        <f t="shared" si="13"/>
        <v>Weekday</v>
      </c>
      <c r="E399" s="3">
        <v>0.4375</v>
      </c>
      <c r="F399" s="1" t="s">
        <v>842</v>
      </c>
      <c r="G399" s="1" t="s">
        <v>34</v>
      </c>
      <c r="H399" s="1" t="s">
        <v>35</v>
      </c>
      <c r="I399" s="1" t="s">
        <v>74</v>
      </c>
      <c r="J399" s="1" t="s">
        <v>75</v>
      </c>
      <c r="K399" s="1">
        <v>6</v>
      </c>
      <c r="L399" s="1">
        <v>119</v>
      </c>
      <c r="M399" s="1">
        <v>714</v>
      </c>
      <c r="N399" s="1">
        <v>0</v>
      </c>
      <c r="O399" s="1">
        <v>714</v>
      </c>
      <c r="P399" s="1" t="s">
        <v>38</v>
      </c>
      <c r="Q399" s="1">
        <v>10</v>
      </c>
      <c r="R399" s="1" t="s">
        <v>20</v>
      </c>
      <c r="S399" s="1">
        <v>1</v>
      </c>
    </row>
    <row r="400" spans="1:19" x14ac:dyDescent="0.3">
      <c r="A400" s="1" t="s">
        <v>843</v>
      </c>
      <c r="B400" s="2">
        <v>45931</v>
      </c>
      <c r="C400" s="1" t="str">
        <f t="shared" si="12"/>
        <v>Wed</v>
      </c>
      <c r="D400" s="1" t="str">
        <f t="shared" si="13"/>
        <v>Weekday</v>
      </c>
      <c r="E400" s="3">
        <v>0.4375</v>
      </c>
      <c r="F400" s="1" t="s">
        <v>844</v>
      </c>
      <c r="G400" s="1" t="s">
        <v>28</v>
      </c>
      <c r="H400" s="1" t="s">
        <v>29</v>
      </c>
      <c r="I400" s="1" t="s">
        <v>36</v>
      </c>
      <c r="J400" s="1" t="s">
        <v>37</v>
      </c>
      <c r="K400" s="1">
        <v>3</v>
      </c>
      <c r="L400" s="1">
        <v>22</v>
      </c>
      <c r="M400" s="1">
        <v>66</v>
      </c>
      <c r="N400" s="1">
        <v>5</v>
      </c>
      <c r="O400" s="1">
        <v>61</v>
      </c>
      <c r="P400" s="1" t="s">
        <v>1048</v>
      </c>
      <c r="Q400" s="1">
        <v>15</v>
      </c>
      <c r="R400" s="1" t="s">
        <v>20</v>
      </c>
      <c r="S400" s="1">
        <v>5</v>
      </c>
    </row>
    <row r="401" spans="1:19" x14ac:dyDescent="0.3">
      <c r="A401" s="1" t="s">
        <v>845</v>
      </c>
      <c r="B401" s="2">
        <v>45809</v>
      </c>
      <c r="C401" s="1" t="str">
        <f t="shared" si="12"/>
        <v>Sun</v>
      </c>
      <c r="D401" s="1" t="str">
        <f t="shared" si="13"/>
        <v>Weekend</v>
      </c>
      <c r="E401" s="3">
        <v>0.4375</v>
      </c>
      <c r="F401" s="1" t="s">
        <v>846</v>
      </c>
      <c r="G401" s="1" t="s">
        <v>54</v>
      </c>
      <c r="H401" s="1" t="s">
        <v>16</v>
      </c>
      <c r="I401" s="1" t="s">
        <v>74</v>
      </c>
      <c r="J401" s="1" t="s">
        <v>75</v>
      </c>
      <c r="K401" s="1">
        <v>4</v>
      </c>
      <c r="L401" s="1">
        <v>11</v>
      </c>
      <c r="M401" s="1">
        <v>44</v>
      </c>
      <c r="N401" s="1">
        <v>0</v>
      </c>
      <c r="O401" s="1">
        <v>44</v>
      </c>
      <c r="P401" s="1" t="s">
        <v>1049</v>
      </c>
      <c r="Q401" s="1">
        <v>41</v>
      </c>
      <c r="R401" s="1" t="s">
        <v>20</v>
      </c>
      <c r="S401" s="1">
        <v>5</v>
      </c>
    </row>
    <row r="402" spans="1:19" x14ac:dyDescent="0.3">
      <c r="A402" s="1" t="s">
        <v>847</v>
      </c>
      <c r="B402" s="2">
        <v>45717</v>
      </c>
      <c r="C402" s="1" t="str">
        <f t="shared" si="12"/>
        <v>Sat</v>
      </c>
      <c r="D402" s="1" t="str">
        <f t="shared" si="13"/>
        <v>Weekend</v>
      </c>
      <c r="E402" s="3">
        <v>0.4375</v>
      </c>
      <c r="F402" s="1" t="s">
        <v>848</v>
      </c>
      <c r="G402" s="1" t="s">
        <v>84</v>
      </c>
      <c r="H402" s="1" t="s">
        <v>55</v>
      </c>
      <c r="I402" s="1" t="s">
        <v>99</v>
      </c>
      <c r="J402" s="1" t="s">
        <v>100</v>
      </c>
      <c r="K402" s="1">
        <v>5</v>
      </c>
      <c r="L402" s="1">
        <v>88</v>
      </c>
      <c r="M402" s="1">
        <v>440</v>
      </c>
      <c r="N402" s="1">
        <v>0</v>
      </c>
      <c r="O402" s="1">
        <v>440</v>
      </c>
      <c r="P402" s="1" t="s">
        <v>19</v>
      </c>
      <c r="Q402" s="1">
        <v>33</v>
      </c>
      <c r="R402" s="1" t="s">
        <v>20</v>
      </c>
      <c r="S402" s="1">
        <v>5</v>
      </c>
    </row>
    <row r="403" spans="1:19" x14ac:dyDescent="0.3">
      <c r="A403" s="1" t="s">
        <v>849</v>
      </c>
      <c r="B403" s="2">
        <v>45748</v>
      </c>
      <c r="C403" s="1" t="str">
        <f t="shared" si="12"/>
        <v>Tue</v>
      </c>
      <c r="D403" s="1" t="str">
        <f t="shared" si="13"/>
        <v>Weekday</v>
      </c>
      <c r="E403" s="3">
        <v>0.78125</v>
      </c>
      <c r="F403" s="1" t="s">
        <v>850</v>
      </c>
      <c r="G403" s="1" t="s">
        <v>54</v>
      </c>
      <c r="H403" s="1" t="s">
        <v>64</v>
      </c>
      <c r="I403" s="1" t="s">
        <v>24</v>
      </c>
      <c r="J403" s="1" t="s">
        <v>25</v>
      </c>
      <c r="K403" s="1">
        <v>1</v>
      </c>
      <c r="L403" s="1">
        <v>75</v>
      </c>
      <c r="M403" s="1">
        <v>75</v>
      </c>
      <c r="N403" s="1">
        <v>0</v>
      </c>
      <c r="O403" s="1">
        <v>75</v>
      </c>
      <c r="P403" s="1" t="s">
        <v>38</v>
      </c>
      <c r="Q403" s="1">
        <v>17</v>
      </c>
      <c r="R403" s="1" t="s">
        <v>20</v>
      </c>
      <c r="S403" s="1"/>
    </row>
    <row r="404" spans="1:19" x14ac:dyDescent="0.3">
      <c r="A404" s="1" t="s">
        <v>851</v>
      </c>
      <c r="B404" s="2">
        <v>45748</v>
      </c>
      <c r="C404" s="1" t="str">
        <f t="shared" si="12"/>
        <v>Tue</v>
      </c>
      <c r="D404" s="1" t="str">
        <f t="shared" si="13"/>
        <v>Weekday</v>
      </c>
      <c r="E404" s="3">
        <v>0.76041666666666663</v>
      </c>
      <c r="F404" s="1" t="s">
        <v>852</v>
      </c>
      <c r="G404" s="1" t="s">
        <v>48</v>
      </c>
      <c r="H404" s="1" t="s">
        <v>16</v>
      </c>
      <c r="I404" s="1" t="s">
        <v>24</v>
      </c>
      <c r="J404" s="1" t="s">
        <v>25</v>
      </c>
      <c r="K404" s="1">
        <v>5</v>
      </c>
      <c r="L404" s="1">
        <v>58</v>
      </c>
      <c r="M404" s="1">
        <v>290</v>
      </c>
      <c r="N404" s="1">
        <v>0</v>
      </c>
      <c r="O404" s="1">
        <v>290</v>
      </c>
      <c r="P404" s="1" t="s">
        <v>19</v>
      </c>
      <c r="Q404" s="1">
        <v>29</v>
      </c>
      <c r="R404" s="1" t="s">
        <v>31</v>
      </c>
      <c r="S404" s="1">
        <v>4</v>
      </c>
    </row>
    <row r="405" spans="1:19" x14ac:dyDescent="0.3">
      <c r="A405" s="1" t="s">
        <v>853</v>
      </c>
      <c r="B405" s="2">
        <v>45870</v>
      </c>
      <c r="C405" s="1" t="str">
        <f t="shared" si="12"/>
        <v>Fri</v>
      </c>
      <c r="D405" s="1" t="str">
        <f t="shared" si="13"/>
        <v>Weekday</v>
      </c>
      <c r="E405" s="3">
        <v>0.76041666666666663</v>
      </c>
      <c r="F405" s="1" t="s">
        <v>854</v>
      </c>
      <c r="G405" s="1" t="s">
        <v>48</v>
      </c>
      <c r="H405" s="1" t="s">
        <v>73</v>
      </c>
      <c r="I405" s="1" t="s">
        <v>36</v>
      </c>
      <c r="J405" s="1" t="s">
        <v>37</v>
      </c>
      <c r="K405" s="1">
        <v>2</v>
      </c>
      <c r="L405" s="1">
        <v>10</v>
      </c>
      <c r="M405" s="1">
        <v>20</v>
      </c>
      <c r="N405" s="1">
        <v>10</v>
      </c>
      <c r="O405" s="1">
        <v>10</v>
      </c>
      <c r="P405" s="1" t="s">
        <v>38</v>
      </c>
      <c r="Q405" s="1">
        <v>52</v>
      </c>
      <c r="R405" s="1" t="s">
        <v>20</v>
      </c>
      <c r="S405" s="1"/>
    </row>
    <row r="406" spans="1:19" x14ac:dyDescent="0.3">
      <c r="A406" s="1" t="s">
        <v>855</v>
      </c>
      <c r="B406" s="2">
        <v>45658</v>
      </c>
      <c r="C406" s="1" t="str">
        <f t="shared" si="12"/>
        <v>Wed</v>
      </c>
      <c r="D406" s="1" t="str">
        <f t="shared" si="13"/>
        <v>Weekday</v>
      </c>
      <c r="E406" s="3">
        <v>0.4375</v>
      </c>
      <c r="F406" s="1" t="s">
        <v>856</v>
      </c>
      <c r="G406" s="1" t="s">
        <v>1047</v>
      </c>
      <c r="H406" s="1" t="s">
        <v>55</v>
      </c>
      <c r="I406" s="1" t="s">
        <v>36</v>
      </c>
      <c r="J406" s="1" t="s">
        <v>37</v>
      </c>
      <c r="K406" s="1">
        <v>5</v>
      </c>
      <c r="L406" s="1">
        <v>30</v>
      </c>
      <c r="M406" s="1">
        <v>150</v>
      </c>
      <c r="N406" s="1">
        <v>0</v>
      </c>
      <c r="O406" s="1">
        <v>150</v>
      </c>
      <c r="P406" s="1" t="s">
        <v>1049</v>
      </c>
      <c r="Q406" s="1">
        <v>15</v>
      </c>
      <c r="R406" s="1" t="s">
        <v>31</v>
      </c>
      <c r="S406" s="1">
        <v>5</v>
      </c>
    </row>
    <row r="407" spans="1:19" x14ac:dyDescent="0.3">
      <c r="A407" s="1" t="s">
        <v>857</v>
      </c>
      <c r="B407" s="2">
        <v>45664</v>
      </c>
      <c r="C407" s="1" t="str">
        <f t="shared" si="12"/>
        <v>Tue</v>
      </c>
      <c r="D407" s="1" t="str">
        <f t="shared" si="13"/>
        <v>Weekday</v>
      </c>
      <c r="E407" s="3">
        <v>0.37847222222222221</v>
      </c>
      <c r="F407" s="1" t="s">
        <v>858</v>
      </c>
      <c r="G407" s="1" t="s">
        <v>34</v>
      </c>
      <c r="H407" s="1" t="s">
        <v>29</v>
      </c>
      <c r="I407" s="1" t="s">
        <v>51</v>
      </c>
      <c r="J407" s="1" t="s">
        <v>18</v>
      </c>
      <c r="K407" s="1">
        <v>4</v>
      </c>
      <c r="L407" s="1">
        <v>84</v>
      </c>
      <c r="M407" s="1">
        <v>336</v>
      </c>
      <c r="N407" s="1">
        <v>5</v>
      </c>
      <c r="O407" s="1">
        <v>331</v>
      </c>
      <c r="P407" s="1" t="s">
        <v>19</v>
      </c>
      <c r="Q407" s="1">
        <v>52</v>
      </c>
      <c r="R407" s="1" t="s">
        <v>31</v>
      </c>
      <c r="S407" s="1">
        <v>5</v>
      </c>
    </row>
    <row r="408" spans="1:19" x14ac:dyDescent="0.3">
      <c r="A408" s="1" t="s">
        <v>859</v>
      </c>
      <c r="B408" s="2">
        <v>45809</v>
      </c>
      <c r="C408" s="1" t="str">
        <f t="shared" si="12"/>
        <v>Sun</v>
      </c>
      <c r="D408" s="1" t="str">
        <f t="shared" si="13"/>
        <v>Weekend</v>
      </c>
      <c r="E408" s="3">
        <v>0.78125</v>
      </c>
      <c r="F408" s="1" t="s">
        <v>860</v>
      </c>
      <c r="G408" s="1" t="s">
        <v>28</v>
      </c>
      <c r="H408" s="1" t="s">
        <v>23</v>
      </c>
      <c r="I408" s="1" t="s">
        <v>17</v>
      </c>
      <c r="J408" s="1" t="s">
        <v>18</v>
      </c>
      <c r="K408" s="1">
        <v>1</v>
      </c>
      <c r="L408" s="1">
        <v>22</v>
      </c>
      <c r="M408" s="1">
        <v>22</v>
      </c>
      <c r="N408" s="1">
        <v>5</v>
      </c>
      <c r="O408" s="1">
        <v>17</v>
      </c>
      <c r="P408" s="1" t="s">
        <v>19</v>
      </c>
      <c r="Q408" s="1">
        <v>46</v>
      </c>
      <c r="R408" s="1" t="s">
        <v>31</v>
      </c>
      <c r="S408" s="1">
        <v>5</v>
      </c>
    </row>
    <row r="409" spans="1:19" x14ac:dyDescent="0.3">
      <c r="A409" s="1" t="s">
        <v>861</v>
      </c>
      <c r="B409" s="2">
        <v>45664</v>
      </c>
      <c r="C409" s="1" t="str">
        <f t="shared" si="12"/>
        <v>Tue</v>
      </c>
      <c r="D409" s="1" t="str">
        <f t="shared" si="13"/>
        <v>Weekday</v>
      </c>
      <c r="E409" s="3">
        <v>0.37847222222222221</v>
      </c>
      <c r="F409" s="1" t="s">
        <v>862</v>
      </c>
      <c r="G409" s="1" t="s">
        <v>1047</v>
      </c>
      <c r="H409" s="1" t="s">
        <v>29</v>
      </c>
      <c r="I409" s="1" t="s">
        <v>87</v>
      </c>
      <c r="J409" s="1" t="s">
        <v>88</v>
      </c>
      <c r="K409" s="1">
        <v>6</v>
      </c>
      <c r="L409" s="1">
        <v>74</v>
      </c>
      <c r="M409" s="1">
        <v>444</v>
      </c>
      <c r="N409" s="1">
        <v>5</v>
      </c>
      <c r="O409" s="1">
        <v>439</v>
      </c>
      <c r="P409" s="1" t="s">
        <v>1048</v>
      </c>
      <c r="Q409" s="1">
        <v>26</v>
      </c>
      <c r="R409" s="1" t="s">
        <v>20</v>
      </c>
      <c r="S409" s="1">
        <v>3</v>
      </c>
    </row>
    <row r="410" spans="1:19" x14ac:dyDescent="0.3">
      <c r="A410" s="1" t="s">
        <v>863</v>
      </c>
      <c r="B410" s="2">
        <v>45962</v>
      </c>
      <c r="C410" s="1" t="str">
        <f t="shared" si="12"/>
        <v>Sat</v>
      </c>
      <c r="D410" s="1" t="str">
        <f t="shared" si="13"/>
        <v>Weekend</v>
      </c>
      <c r="E410" s="3">
        <v>0.76041666666666663</v>
      </c>
      <c r="F410" s="1" t="s">
        <v>864</v>
      </c>
      <c r="G410" s="1" t="s">
        <v>28</v>
      </c>
      <c r="H410" s="1" t="s">
        <v>41</v>
      </c>
      <c r="I410" s="1" t="s">
        <v>99</v>
      </c>
      <c r="J410" s="1" t="s">
        <v>100</v>
      </c>
      <c r="K410" s="1">
        <v>5</v>
      </c>
      <c r="L410" s="1">
        <v>46</v>
      </c>
      <c r="M410" s="1">
        <v>230</v>
      </c>
      <c r="N410" s="1">
        <v>5</v>
      </c>
      <c r="O410" s="1">
        <v>225</v>
      </c>
      <c r="P410" s="1" t="s">
        <v>19</v>
      </c>
      <c r="Q410" s="1">
        <v>54</v>
      </c>
      <c r="R410" s="1" t="s">
        <v>31</v>
      </c>
      <c r="S410" s="1">
        <v>4</v>
      </c>
    </row>
    <row r="411" spans="1:19" x14ac:dyDescent="0.3">
      <c r="A411" s="1" t="s">
        <v>865</v>
      </c>
      <c r="B411" s="2">
        <v>45689</v>
      </c>
      <c r="C411" s="1" t="str">
        <f t="shared" si="12"/>
        <v>Sat</v>
      </c>
      <c r="D411" s="1" t="str">
        <f t="shared" si="13"/>
        <v>Weekend</v>
      </c>
      <c r="E411" s="3">
        <v>0.76041666666666663</v>
      </c>
      <c r="F411" s="1" t="s">
        <v>866</v>
      </c>
      <c r="G411" s="1" t="s">
        <v>28</v>
      </c>
      <c r="H411" s="1" t="s">
        <v>29</v>
      </c>
      <c r="I411" s="1" t="s">
        <v>24</v>
      </c>
      <c r="J411" s="1" t="s">
        <v>25</v>
      </c>
      <c r="K411" s="1">
        <v>4</v>
      </c>
      <c r="L411" s="1">
        <v>63</v>
      </c>
      <c r="M411" s="1">
        <v>252</v>
      </c>
      <c r="N411" s="1">
        <v>10</v>
      </c>
      <c r="O411" s="1">
        <v>242</v>
      </c>
      <c r="P411" s="1" t="s">
        <v>1048</v>
      </c>
      <c r="Q411" s="1">
        <v>52</v>
      </c>
      <c r="R411" s="1" t="s">
        <v>20</v>
      </c>
      <c r="S411" s="1">
        <v>2</v>
      </c>
    </row>
    <row r="412" spans="1:19" x14ac:dyDescent="0.3">
      <c r="A412" s="1" t="s">
        <v>867</v>
      </c>
      <c r="B412" s="2">
        <v>45668</v>
      </c>
      <c r="C412" s="1" t="str">
        <f t="shared" si="12"/>
        <v>Sat</v>
      </c>
      <c r="D412" s="1" t="str">
        <f t="shared" si="13"/>
        <v>Weekend</v>
      </c>
      <c r="E412" s="3">
        <v>0.37847222222222221</v>
      </c>
      <c r="F412" s="1" t="s">
        <v>868</v>
      </c>
      <c r="G412" s="1" t="s">
        <v>45</v>
      </c>
      <c r="H412" s="1" t="s">
        <v>64</v>
      </c>
      <c r="I412" s="1" t="s">
        <v>24</v>
      </c>
      <c r="J412" s="1" t="s">
        <v>25</v>
      </c>
      <c r="K412" s="1">
        <v>5</v>
      </c>
      <c r="L412" s="1">
        <v>86</v>
      </c>
      <c r="M412" s="1">
        <v>430</v>
      </c>
      <c r="N412" s="1">
        <v>0</v>
      </c>
      <c r="O412" s="1">
        <v>430</v>
      </c>
      <c r="P412" s="1" t="s">
        <v>1048</v>
      </c>
      <c r="Q412" s="1">
        <v>45</v>
      </c>
      <c r="R412" s="1" t="s">
        <v>20</v>
      </c>
      <c r="S412" s="1">
        <v>1</v>
      </c>
    </row>
    <row r="413" spans="1:19" x14ac:dyDescent="0.3">
      <c r="A413" s="1" t="s">
        <v>869</v>
      </c>
      <c r="B413" s="2">
        <v>45689</v>
      </c>
      <c r="C413" s="1" t="str">
        <f t="shared" si="12"/>
        <v>Sat</v>
      </c>
      <c r="D413" s="1" t="str">
        <f t="shared" si="13"/>
        <v>Weekend</v>
      </c>
      <c r="E413" s="3">
        <v>0.4375</v>
      </c>
      <c r="F413" s="1" t="s">
        <v>870</v>
      </c>
      <c r="G413" s="1" t="s">
        <v>45</v>
      </c>
      <c r="H413" s="1" t="s">
        <v>35</v>
      </c>
      <c r="I413" s="1" t="s">
        <v>30</v>
      </c>
      <c r="J413" s="1" t="s">
        <v>18</v>
      </c>
      <c r="K413" s="1">
        <v>2</v>
      </c>
      <c r="L413" s="1">
        <v>82</v>
      </c>
      <c r="M413" s="1">
        <v>164</v>
      </c>
      <c r="N413" s="1">
        <v>5</v>
      </c>
      <c r="O413" s="1">
        <v>159</v>
      </c>
      <c r="P413" s="1" t="s">
        <v>1048</v>
      </c>
      <c r="Q413" s="1">
        <v>51</v>
      </c>
      <c r="R413" s="1" t="s">
        <v>31</v>
      </c>
      <c r="S413" s="1"/>
    </row>
    <row r="414" spans="1:19" x14ac:dyDescent="0.3">
      <c r="A414" s="1" t="s">
        <v>871</v>
      </c>
      <c r="B414" s="2">
        <v>45870</v>
      </c>
      <c r="C414" s="1" t="str">
        <f t="shared" si="12"/>
        <v>Fri</v>
      </c>
      <c r="D414" s="1" t="str">
        <f t="shared" si="13"/>
        <v>Weekday</v>
      </c>
      <c r="E414" s="3">
        <v>0.4375</v>
      </c>
      <c r="F414" s="1" t="s">
        <v>872</v>
      </c>
      <c r="G414" s="1" t="s">
        <v>48</v>
      </c>
      <c r="H414" s="1" t="s">
        <v>55</v>
      </c>
      <c r="I414" s="1" t="s">
        <v>30</v>
      </c>
      <c r="J414" s="1" t="s">
        <v>18</v>
      </c>
      <c r="K414" s="1">
        <v>6</v>
      </c>
      <c r="L414" s="1">
        <v>51</v>
      </c>
      <c r="M414" s="1">
        <v>306</v>
      </c>
      <c r="N414" s="1">
        <v>10</v>
      </c>
      <c r="O414" s="1">
        <v>296</v>
      </c>
      <c r="P414" s="1" t="s">
        <v>38</v>
      </c>
      <c r="Q414" s="1">
        <v>18</v>
      </c>
      <c r="R414" s="1" t="s">
        <v>31</v>
      </c>
      <c r="S414" s="1">
        <v>2</v>
      </c>
    </row>
    <row r="415" spans="1:19" x14ac:dyDescent="0.3">
      <c r="A415" s="1" t="s">
        <v>873</v>
      </c>
      <c r="B415" s="2">
        <v>45717</v>
      </c>
      <c r="C415" s="1" t="str">
        <f t="shared" si="12"/>
        <v>Sat</v>
      </c>
      <c r="D415" s="1" t="str">
        <f t="shared" si="13"/>
        <v>Weekend</v>
      </c>
      <c r="E415" s="3">
        <v>0.76041666666666663</v>
      </c>
      <c r="F415" s="1" t="s">
        <v>874</v>
      </c>
      <c r="G415" s="1" t="s">
        <v>48</v>
      </c>
      <c r="H415" s="1" t="s">
        <v>16</v>
      </c>
      <c r="I415" s="1" t="s">
        <v>30</v>
      </c>
      <c r="J415" s="1" t="s">
        <v>18</v>
      </c>
      <c r="K415" s="1">
        <v>5</v>
      </c>
      <c r="L415" s="1">
        <v>111</v>
      </c>
      <c r="M415" s="1">
        <v>555</v>
      </c>
      <c r="N415" s="1">
        <v>10</v>
      </c>
      <c r="O415" s="1">
        <v>545</v>
      </c>
      <c r="P415" s="1" t="s">
        <v>1048</v>
      </c>
      <c r="Q415" s="1">
        <v>42</v>
      </c>
      <c r="R415" s="1" t="s">
        <v>31</v>
      </c>
      <c r="S415" s="1">
        <v>1</v>
      </c>
    </row>
    <row r="416" spans="1:19" x14ac:dyDescent="0.3">
      <c r="A416" s="1" t="s">
        <v>875</v>
      </c>
      <c r="B416" s="2">
        <v>45665</v>
      </c>
      <c r="C416" s="1" t="str">
        <f t="shared" si="12"/>
        <v>Wed</v>
      </c>
      <c r="D416" s="1" t="str">
        <f t="shared" si="13"/>
        <v>Weekday</v>
      </c>
      <c r="E416" s="3">
        <v>0.76041666666666663</v>
      </c>
      <c r="F416" s="1" t="s">
        <v>876</v>
      </c>
      <c r="G416" s="1" t="s">
        <v>84</v>
      </c>
      <c r="H416" s="1" t="s">
        <v>55</v>
      </c>
      <c r="I416" s="1" t="s">
        <v>24</v>
      </c>
      <c r="J416" s="1" t="s">
        <v>25</v>
      </c>
      <c r="K416" s="1">
        <v>6</v>
      </c>
      <c r="L416" s="1">
        <v>58</v>
      </c>
      <c r="M416" s="1">
        <v>348</v>
      </c>
      <c r="N416" s="1">
        <v>0</v>
      </c>
      <c r="O416" s="1">
        <v>348</v>
      </c>
      <c r="P416" s="1" t="s">
        <v>1048</v>
      </c>
      <c r="Q416" s="1">
        <v>54</v>
      </c>
      <c r="R416" s="1" t="s">
        <v>20</v>
      </c>
      <c r="S416" s="1"/>
    </row>
    <row r="417" spans="1:19" x14ac:dyDescent="0.3">
      <c r="A417" s="1" t="s">
        <v>877</v>
      </c>
      <c r="B417" s="2">
        <v>45778</v>
      </c>
      <c r="C417" s="1" t="str">
        <f t="shared" si="12"/>
        <v>Thu</v>
      </c>
      <c r="D417" s="1" t="str">
        <f t="shared" si="13"/>
        <v>Weekday</v>
      </c>
      <c r="E417" s="3">
        <v>0.37847222222222221</v>
      </c>
      <c r="F417" s="1" t="s">
        <v>878</v>
      </c>
      <c r="G417" s="1" t="s">
        <v>1047</v>
      </c>
      <c r="H417" s="1" t="s">
        <v>55</v>
      </c>
      <c r="I417" s="1" t="s">
        <v>87</v>
      </c>
      <c r="J417" s="1" t="s">
        <v>88</v>
      </c>
      <c r="K417" s="1">
        <v>1</v>
      </c>
      <c r="L417" s="1">
        <v>11</v>
      </c>
      <c r="M417" s="1">
        <v>11</v>
      </c>
      <c r="N417" s="1">
        <v>10</v>
      </c>
      <c r="O417" s="1">
        <v>1</v>
      </c>
      <c r="P417" s="1" t="s">
        <v>1048</v>
      </c>
      <c r="Q417" s="1">
        <v>21</v>
      </c>
      <c r="R417" s="1" t="s">
        <v>31</v>
      </c>
      <c r="S417" s="1">
        <v>4</v>
      </c>
    </row>
    <row r="418" spans="1:19" x14ac:dyDescent="0.3">
      <c r="A418" s="1" t="s">
        <v>879</v>
      </c>
      <c r="B418" s="2">
        <v>45664</v>
      </c>
      <c r="C418" s="1" t="str">
        <f t="shared" si="12"/>
        <v>Tue</v>
      </c>
      <c r="D418" s="1" t="str">
        <f t="shared" si="13"/>
        <v>Weekday</v>
      </c>
      <c r="E418" s="3">
        <v>0.76041666666666663</v>
      </c>
      <c r="F418" s="1" t="s">
        <v>880</v>
      </c>
      <c r="G418" s="1" t="s">
        <v>28</v>
      </c>
      <c r="H418" s="1" t="s">
        <v>73</v>
      </c>
      <c r="I418" s="1" t="s">
        <v>74</v>
      </c>
      <c r="J418" s="1" t="s">
        <v>75</v>
      </c>
      <c r="K418" s="1">
        <v>2</v>
      </c>
      <c r="L418" s="1">
        <v>63</v>
      </c>
      <c r="M418" s="1">
        <v>126</v>
      </c>
      <c r="N418" s="1">
        <v>10</v>
      </c>
      <c r="O418" s="1">
        <v>116</v>
      </c>
      <c r="P418" s="1" t="s">
        <v>38</v>
      </c>
      <c r="Q418" s="1">
        <v>55</v>
      </c>
      <c r="R418" s="1" t="s">
        <v>31</v>
      </c>
      <c r="S418" s="1"/>
    </row>
    <row r="419" spans="1:19" x14ac:dyDescent="0.3">
      <c r="A419" s="1" t="s">
        <v>881</v>
      </c>
      <c r="B419" s="2">
        <v>45839</v>
      </c>
      <c r="C419" s="1" t="str">
        <f t="shared" si="12"/>
        <v>Tue</v>
      </c>
      <c r="D419" s="1" t="str">
        <f t="shared" si="13"/>
        <v>Weekday</v>
      </c>
      <c r="E419" s="3">
        <v>0.37847222222222221</v>
      </c>
      <c r="F419" s="1" t="s">
        <v>882</v>
      </c>
      <c r="G419" s="1" t="s">
        <v>48</v>
      </c>
      <c r="H419" s="1" t="s">
        <v>41</v>
      </c>
      <c r="I419" s="1" t="s">
        <v>51</v>
      </c>
      <c r="J419" s="1" t="s">
        <v>18</v>
      </c>
      <c r="K419" s="1">
        <v>6</v>
      </c>
      <c r="L419" s="1">
        <v>66</v>
      </c>
      <c r="M419" s="1">
        <v>396</v>
      </c>
      <c r="N419" s="1">
        <v>10</v>
      </c>
      <c r="O419" s="1">
        <v>386</v>
      </c>
      <c r="P419" s="1" t="s">
        <v>19</v>
      </c>
      <c r="Q419" s="1">
        <v>12</v>
      </c>
      <c r="R419" s="1" t="s">
        <v>20</v>
      </c>
      <c r="S419" s="1"/>
    </row>
    <row r="420" spans="1:19" x14ac:dyDescent="0.3">
      <c r="A420" s="1" t="s">
        <v>883</v>
      </c>
      <c r="B420" s="2">
        <v>45662</v>
      </c>
      <c r="C420" s="1" t="str">
        <f t="shared" si="12"/>
        <v>Sun</v>
      </c>
      <c r="D420" s="1" t="str">
        <f t="shared" si="13"/>
        <v>Weekend</v>
      </c>
      <c r="E420" s="3">
        <v>0.78125</v>
      </c>
      <c r="F420" s="1" t="s">
        <v>884</v>
      </c>
      <c r="G420" s="1" t="s">
        <v>28</v>
      </c>
      <c r="H420" s="1" t="s">
        <v>35</v>
      </c>
      <c r="I420" s="1" t="s">
        <v>17</v>
      </c>
      <c r="J420" s="1" t="s">
        <v>18</v>
      </c>
      <c r="K420" s="1">
        <v>1</v>
      </c>
      <c r="L420" s="1">
        <v>62</v>
      </c>
      <c r="M420" s="1">
        <v>62</v>
      </c>
      <c r="N420" s="1">
        <v>0</v>
      </c>
      <c r="O420" s="1">
        <v>62</v>
      </c>
      <c r="P420" s="1" t="s">
        <v>38</v>
      </c>
      <c r="Q420" s="1">
        <v>23</v>
      </c>
      <c r="R420" s="1" t="s">
        <v>20</v>
      </c>
      <c r="S420" s="1"/>
    </row>
    <row r="421" spans="1:19" x14ac:dyDescent="0.3">
      <c r="A421" s="1" t="s">
        <v>885</v>
      </c>
      <c r="B421" s="2">
        <v>45668</v>
      </c>
      <c r="C421" s="1" t="str">
        <f t="shared" si="12"/>
        <v>Sat</v>
      </c>
      <c r="D421" s="1" t="str">
        <f t="shared" si="13"/>
        <v>Weekend</v>
      </c>
      <c r="E421" s="3">
        <v>0.78125</v>
      </c>
      <c r="F421" s="1" t="s">
        <v>886</v>
      </c>
      <c r="G421" s="1" t="s">
        <v>54</v>
      </c>
      <c r="H421" s="1" t="s">
        <v>41</v>
      </c>
      <c r="I421" s="1" t="s">
        <v>74</v>
      </c>
      <c r="J421" s="1" t="s">
        <v>75</v>
      </c>
      <c r="K421" s="1">
        <v>1</v>
      </c>
      <c r="L421" s="1">
        <v>14</v>
      </c>
      <c r="M421" s="1">
        <v>14</v>
      </c>
      <c r="N421" s="1">
        <v>5</v>
      </c>
      <c r="O421" s="1">
        <v>9</v>
      </c>
      <c r="P421" s="1" t="s">
        <v>19</v>
      </c>
      <c r="Q421" s="1">
        <v>60</v>
      </c>
      <c r="R421" s="1" t="s">
        <v>20</v>
      </c>
      <c r="S421" s="1"/>
    </row>
    <row r="422" spans="1:19" x14ac:dyDescent="0.3">
      <c r="A422" s="1" t="s">
        <v>887</v>
      </c>
      <c r="B422" s="2">
        <v>45662</v>
      </c>
      <c r="C422" s="1" t="str">
        <f t="shared" si="12"/>
        <v>Sun</v>
      </c>
      <c r="D422" s="1" t="str">
        <f t="shared" si="13"/>
        <v>Weekend</v>
      </c>
      <c r="E422" s="3">
        <v>0.76041666666666663</v>
      </c>
      <c r="F422" s="1" t="s">
        <v>888</v>
      </c>
      <c r="G422" s="1" t="s">
        <v>45</v>
      </c>
      <c r="H422" s="1" t="s">
        <v>73</v>
      </c>
      <c r="I422" s="1" t="s">
        <v>30</v>
      </c>
      <c r="J422" s="1" t="s">
        <v>18</v>
      </c>
      <c r="K422" s="1">
        <v>5</v>
      </c>
      <c r="L422" s="1">
        <v>67</v>
      </c>
      <c r="M422" s="1">
        <v>335</v>
      </c>
      <c r="N422" s="1">
        <v>0</v>
      </c>
      <c r="O422" s="1">
        <v>335</v>
      </c>
      <c r="P422" s="1" t="s">
        <v>1048</v>
      </c>
      <c r="Q422" s="1">
        <v>40</v>
      </c>
      <c r="R422" s="1" t="s">
        <v>31</v>
      </c>
      <c r="S422" s="1">
        <v>5</v>
      </c>
    </row>
    <row r="423" spans="1:19" x14ac:dyDescent="0.3">
      <c r="A423" s="1" t="s">
        <v>889</v>
      </c>
      <c r="B423" s="2">
        <v>45870</v>
      </c>
      <c r="C423" s="1" t="str">
        <f t="shared" si="12"/>
        <v>Fri</v>
      </c>
      <c r="D423" s="1" t="str">
        <f t="shared" si="13"/>
        <v>Weekday</v>
      </c>
      <c r="E423" s="3">
        <v>0.4375</v>
      </c>
      <c r="F423" s="1" t="s">
        <v>890</v>
      </c>
      <c r="G423" s="1" t="s">
        <v>28</v>
      </c>
      <c r="H423" s="1" t="s">
        <v>29</v>
      </c>
      <c r="I423" s="1" t="s">
        <v>30</v>
      </c>
      <c r="J423" s="1" t="s">
        <v>18</v>
      </c>
      <c r="K423" s="1">
        <v>3</v>
      </c>
      <c r="L423" s="1">
        <v>93</v>
      </c>
      <c r="M423" s="1">
        <v>279</v>
      </c>
      <c r="N423" s="1">
        <v>0</v>
      </c>
      <c r="O423" s="1">
        <v>279</v>
      </c>
      <c r="P423" s="1" t="s">
        <v>19</v>
      </c>
      <c r="Q423" s="1">
        <v>16</v>
      </c>
      <c r="R423" s="1" t="s">
        <v>20</v>
      </c>
      <c r="S423" s="1"/>
    </row>
    <row r="424" spans="1:19" x14ac:dyDescent="0.3">
      <c r="A424" s="1" t="s">
        <v>891</v>
      </c>
      <c r="B424" s="2">
        <v>45931</v>
      </c>
      <c r="C424" s="1" t="str">
        <f t="shared" si="12"/>
        <v>Wed</v>
      </c>
      <c r="D424" s="1" t="str">
        <f t="shared" si="13"/>
        <v>Weekday</v>
      </c>
      <c r="E424" s="3">
        <v>0.37847222222222221</v>
      </c>
      <c r="F424" s="1" t="s">
        <v>892</v>
      </c>
      <c r="G424" s="1" t="s">
        <v>45</v>
      </c>
      <c r="H424" s="1" t="s">
        <v>23</v>
      </c>
      <c r="I424" s="1" t="s">
        <v>42</v>
      </c>
      <c r="J424" s="1" t="s">
        <v>25</v>
      </c>
      <c r="K424" s="1">
        <v>6</v>
      </c>
      <c r="L424" s="1">
        <v>32</v>
      </c>
      <c r="M424" s="1">
        <v>192</v>
      </c>
      <c r="N424" s="1">
        <v>5</v>
      </c>
      <c r="O424" s="1">
        <v>187</v>
      </c>
      <c r="P424" s="1" t="s">
        <v>1049</v>
      </c>
      <c r="Q424" s="1">
        <v>36</v>
      </c>
      <c r="R424" s="1" t="s">
        <v>20</v>
      </c>
      <c r="S424" s="1">
        <v>5</v>
      </c>
    </row>
    <row r="425" spans="1:19" x14ac:dyDescent="0.3">
      <c r="A425" s="1" t="s">
        <v>893</v>
      </c>
      <c r="B425" s="2">
        <v>45809</v>
      </c>
      <c r="C425" s="1" t="str">
        <f t="shared" si="12"/>
        <v>Sun</v>
      </c>
      <c r="D425" s="1" t="str">
        <f t="shared" si="13"/>
        <v>Weekend</v>
      </c>
      <c r="E425" s="3">
        <v>0.37847222222222221</v>
      </c>
      <c r="F425" s="1" t="s">
        <v>894</v>
      </c>
      <c r="G425" s="1" t="s">
        <v>48</v>
      </c>
      <c r="H425" s="1" t="s">
        <v>16</v>
      </c>
      <c r="I425" s="1" t="s">
        <v>51</v>
      </c>
      <c r="J425" s="1" t="s">
        <v>18</v>
      </c>
      <c r="K425" s="1">
        <v>3</v>
      </c>
      <c r="L425" s="1">
        <v>46</v>
      </c>
      <c r="M425" s="1">
        <v>138</v>
      </c>
      <c r="N425" s="1">
        <v>0</v>
      </c>
      <c r="O425" s="1">
        <v>138</v>
      </c>
      <c r="P425" s="1" t="s">
        <v>19</v>
      </c>
      <c r="Q425" s="1">
        <v>11</v>
      </c>
      <c r="R425" s="1" t="s">
        <v>20</v>
      </c>
      <c r="S425" s="1">
        <v>1</v>
      </c>
    </row>
    <row r="426" spans="1:19" x14ac:dyDescent="0.3">
      <c r="A426" s="1" t="s">
        <v>895</v>
      </c>
      <c r="B426" s="2">
        <v>45870</v>
      </c>
      <c r="C426" s="1" t="str">
        <f t="shared" si="12"/>
        <v>Fri</v>
      </c>
      <c r="D426" s="1" t="str">
        <f t="shared" si="13"/>
        <v>Weekday</v>
      </c>
      <c r="E426" s="3">
        <v>0.37847222222222221</v>
      </c>
      <c r="F426" s="1" t="s">
        <v>896</v>
      </c>
      <c r="G426" s="1" t="s">
        <v>48</v>
      </c>
      <c r="H426" s="1" t="s">
        <v>73</v>
      </c>
      <c r="I426" s="1" t="s">
        <v>30</v>
      </c>
      <c r="J426" s="1" t="s">
        <v>18</v>
      </c>
      <c r="K426" s="1">
        <v>3</v>
      </c>
      <c r="L426" s="1">
        <v>120</v>
      </c>
      <c r="M426" s="1">
        <v>360</v>
      </c>
      <c r="N426" s="1">
        <v>0</v>
      </c>
      <c r="O426" s="1">
        <v>360</v>
      </c>
      <c r="P426" s="1" t="s">
        <v>38</v>
      </c>
      <c r="Q426" s="1">
        <v>10</v>
      </c>
      <c r="R426" s="1" t="s">
        <v>20</v>
      </c>
      <c r="S426" s="1">
        <v>4</v>
      </c>
    </row>
    <row r="427" spans="1:19" x14ac:dyDescent="0.3">
      <c r="A427" s="1" t="s">
        <v>897</v>
      </c>
      <c r="B427" s="2">
        <v>45778</v>
      </c>
      <c r="C427" s="1" t="str">
        <f t="shared" si="12"/>
        <v>Thu</v>
      </c>
      <c r="D427" s="1" t="str">
        <f t="shared" si="13"/>
        <v>Weekday</v>
      </c>
      <c r="E427" s="3">
        <v>0.4375</v>
      </c>
      <c r="F427" s="1" t="s">
        <v>898</v>
      </c>
      <c r="G427" s="1" t="s">
        <v>84</v>
      </c>
      <c r="H427" s="1" t="s">
        <v>41</v>
      </c>
      <c r="I427" s="1" t="s">
        <v>17</v>
      </c>
      <c r="J427" s="1" t="s">
        <v>18</v>
      </c>
      <c r="K427" s="1">
        <v>1</v>
      </c>
      <c r="L427" s="1">
        <v>63</v>
      </c>
      <c r="M427" s="1">
        <v>63</v>
      </c>
      <c r="N427" s="1">
        <v>5</v>
      </c>
      <c r="O427" s="1">
        <v>58</v>
      </c>
      <c r="P427" s="1" t="s">
        <v>1048</v>
      </c>
      <c r="Q427" s="1">
        <v>14</v>
      </c>
      <c r="R427" s="1" t="s">
        <v>31</v>
      </c>
      <c r="S427" s="1">
        <v>5</v>
      </c>
    </row>
    <row r="428" spans="1:19" x14ac:dyDescent="0.3">
      <c r="A428" s="1" t="s">
        <v>899</v>
      </c>
      <c r="B428" s="2">
        <v>45668</v>
      </c>
      <c r="C428" s="1" t="str">
        <f t="shared" si="12"/>
        <v>Sat</v>
      </c>
      <c r="D428" s="1" t="str">
        <f t="shared" si="13"/>
        <v>Weekend</v>
      </c>
      <c r="E428" s="3">
        <v>0.76041666666666663</v>
      </c>
      <c r="F428" s="1" t="s">
        <v>900</v>
      </c>
      <c r="G428" s="1" t="s">
        <v>34</v>
      </c>
      <c r="H428" s="1" t="s">
        <v>64</v>
      </c>
      <c r="I428" s="1" t="s">
        <v>99</v>
      </c>
      <c r="J428" s="1" t="s">
        <v>100</v>
      </c>
      <c r="K428" s="1">
        <v>4</v>
      </c>
      <c r="L428" s="1">
        <v>55</v>
      </c>
      <c r="M428" s="1">
        <v>220</v>
      </c>
      <c r="N428" s="1">
        <v>10</v>
      </c>
      <c r="O428" s="1">
        <v>210</v>
      </c>
      <c r="P428" s="1" t="s">
        <v>38</v>
      </c>
      <c r="Q428" s="1">
        <v>41</v>
      </c>
      <c r="R428" s="1" t="s">
        <v>20</v>
      </c>
      <c r="S428" s="1">
        <v>2</v>
      </c>
    </row>
    <row r="429" spans="1:19" x14ac:dyDescent="0.3">
      <c r="A429" s="1" t="s">
        <v>901</v>
      </c>
      <c r="B429" s="2">
        <v>45668</v>
      </c>
      <c r="C429" s="1" t="str">
        <f t="shared" si="12"/>
        <v>Sat</v>
      </c>
      <c r="D429" s="1" t="str">
        <f t="shared" si="13"/>
        <v>Weekend</v>
      </c>
      <c r="E429" s="3">
        <v>0.37847222222222221</v>
      </c>
      <c r="F429" s="1" t="s">
        <v>902</v>
      </c>
      <c r="G429" s="1" t="s">
        <v>48</v>
      </c>
      <c r="H429" s="1" t="s">
        <v>41</v>
      </c>
      <c r="I429" s="1" t="s">
        <v>42</v>
      </c>
      <c r="J429" s="1" t="s">
        <v>25</v>
      </c>
      <c r="K429" s="1">
        <v>3</v>
      </c>
      <c r="L429" s="1">
        <v>94</v>
      </c>
      <c r="M429" s="1">
        <v>282</v>
      </c>
      <c r="N429" s="1">
        <v>0</v>
      </c>
      <c r="O429" s="1">
        <v>282</v>
      </c>
      <c r="P429" s="1" t="s">
        <v>19</v>
      </c>
      <c r="Q429" s="1">
        <v>18</v>
      </c>
      <c r="R429" s="1" t="s">
        <v>20</v>
      </c>
      <c r="S429" s="1">
        <v>5</v>
      </c>
    </row>
    <row r="430" spans="1:19" x14ac:dyDescent="0.3">
      <c r="A430" s="1" t="s">
        <v>903</v>
      </c>
      <c r="B430" s="2">
        <v>45870</v>
      </c>
      <c r="C430" s="1" t="str">
        <f t="shared" si="12"/>
        <v>Fri</v>
      </c>
      <c r="D430" s="1" t="str">
        <f t="shared" si="13"/>
        <v>Weekday</v>
      </c>
      <c r="E430" s="3">
        <v>0.37847222222222221</v>
      </c>
      <c r="F430" s="1" t="s">
        <v>904</v>
      </c>
      <c r="G430" s="1" t="s">
        <v>28</v>
      </c>
      <c r="H430" s="1" t="s">
        <v>23</v>
      </c>
      <c r="I430" s="1" t="s">
        <v>99</v>
      </c>
      <c r="J430" s="1" t="s">
        <v>100</v>
      </c>
      <c r="K430" s="1">
        <v>5</v>
      </c>
      <c r="L430" s="1">
        <v>56</v>
      </c>
      <c r="M430" s="1">
        <v>280</v>
      </c>
      <c r="N430" s="1">
        <v>10</v>
      </c>
      <c r="O430" s="1">
        <v>270</v>
      </c>
      <c r="P430" s="1" t="s">
        <v>1049</v>
      </c>
      <c r="Q430" s="1">
        <v>12</v>
      </c>
      <c r="R430" s="1" t="s">
        <v>20</v>
      </c>
      <c r="S430" s="1">
        <v>3</v>
      </c>
    </row>
    <row r="431" spans="1:19" x14ac:dyDescent="0.3">
      <c r="A431" s="1" t="s">
        <v>905</v>
      </c>
      <c r="B431" s="2">
        <v>45665</v>
      </c>
      <c r="C431" s="1" t="str">
        <f t="shared" si="12"/>
        <v>Wed</v>
      </c>
      <c r="D431" s="1" t="str">
        <f t="shared" si="13"/>
        <v>Weekday</v>
      </c>
      <c r="E431" s="3">
        <v>0.76041666666666663</v>
      </c>
      <c r="F431" s="1" t="s">
        <v>906</v>
      </c>
      <c r="G431" s="1" t="s">
        <v>45</v>
      </c>
      <c r="H431" s="1" t="s">
        <v>55</v>
      </c>
      <c r="I431" s="1" t="s">
        <v>36</v>
      </c>
      <c r="J431" s="1" t="s">
        <v>37</v>
      </c>
      <c r="K431" s="1">
        <v>2</v>
      </c>
      <c r="L431" s="1">
        <v>41</v>
      </c>
      <c r="M431" s="1">
        <v>82</v>
      </c>
      <c r="N431" s="1">
        <v>0</v>
      </c>
      <c r="O431" s="1">
        <v>82</v>
      </c>
      <c r="P431" s="1" t="s">
        <v>1049</v>
      </c>
      <c r="Q431" s="1">
        <v>15</v>
      </c>
      <c r="R431" s="1" t="s">
        <v>20</v>
      </c>
      <c r="S431" s="1">
        <v>4</v>
      </c>
    </row>
    <row r="432" spans="1:19" x14ac:dyDescent="0.3">
      <c r="A432" s="1" t="s">
        <v>907</v>
      </c>
      <c r="B432" s="2">
        <v>45901</v>
      </c>
      <c r="C432" s="1" t="str">
        <f t="shared" si="12"/>
        <v>Mon</v>
      </c>
      <c r="D432" s="1" t="str">
        <f t="shared" si="13"/>
        <v>Weekday</v>
      </c>
      <c r="E432" s="3">
        <v>0.37847222222222221</v>
      </c>
      <c r="F432" s="1" t="s">
        <v>908</v>
      </c>
      <c r="G432" s="1" t="s">
        <v>48</v>
      </c>
      <c r="H432" s="1" t="s">
        <v>55</v>
      </c>
      <c r="I432" s="1" t="s">
        <v>87</v>
      </c>
      <c r="J432" s="1" t="s">
        <v>88</v>
      </c>
      <c r="K432" s="1">
        <v>6</v>
      </c>
      <c r="L432" s="1">
        <v>28</v>
      </c>
      <c r="M432" s="1">
        <v>168</v>
      </c>
      <c r="N432" s="1">
        <v>5</v>
      </c>
      <c r="O432" s="1">
        <v>163</v>
      </c>
      <c r="P432" s="1" t="s">
        <v>38</v>
      </c>
      <c r="Q432" s="1">
        <v>47</v>
      </c>
      <c r="R432" s="1" t="s">
        <v>20</v>
      </c>
      <c r="S432" s="1">
        <v>2</v>
      </c>
    </row>
    <row r="433" spans="1:19" x14ac:dyDescent="0.3">
      <c r="A433" s="1" t="s">
        <v>909</v>
      </c>
      <c r="B433" s="2">
        <v>45689</v>
      </c>
      <c r="C433" s="1" t="str">
        <f t="shared" si="12"/>
        <v>Sat</v>
      </c>
      <c r="D433" s="1" t="str">
        <f t="shared" si="13"/>
        <v>Weekend</v>
      </c>
      <c r="E433" s="3">
        <v>0.37847222222222221</v>
      </c>
      <c r="F433" s="1" t="s">
        <v>910</v>
      </c>
      <c r="G433" s="1" t="s">
        <v>1047</v>
      </c>
      <c r="H433" s="1" t="s">
        <v>35</v>
      </c>
      <c r="I433" s="1" t="s">
        <v>24</v>
      </c>
      <c r="J433" s="1" t="s">
        <v>25</v>
      </c>
      <c r="K433" s="1">
        <v>1</v>
      </c>
      <c r="L433" s="1">
        <v>57</v>
      </c>
      <c r="M433" s="1">
        <v>57</v>
      </c>
      <c r="N433" s="1">
        <v>5</v>
      </c>
      <c r="O433" s="1">
        <v>52</v>
      </c>
      <c r="P433" s="1" t="s">
        <v>19</v>
      </c>
      <c r="Q433" s="1">
        <v>32</v>
      </c>
      <c r="R433" s="1" t="s">
        <v>20</v>
      </c>
      <c r="S433" s="1">
        <v>5</v>
      </c>
    </row>
    <row r="434" spans="1:19" x14ac:dyDescent="0.3">
      <c r="A434" s="1" t="s">
        <v>911</v>
      </c>
      <c r="B434" s="2">
        <v>45668</v>
      </c>
      <c r="C434" s="1" t="str">
        <f t="shared" si="12"/>
        <v>Sat</v>
      </c>
      <c r="D434" s="1" t="str">
        <f t="shared" si="13"/>
        <v>Weekend</v>
      </c>
      <c r="E434" s="3">
        <v>0.37847222222222221</v>
      </c>
      <c r="F434" s="1" t="s">
        <v>912</v>
      </c>
      <c r="G434" s="1" t="s">
        <v>34</v>
      </c>
      <c r="H434" s="1" t="s">
        <v>64</v>
      </c>
      <c r="I434" s="1" t="s">
        <v>30</v>
      </c>
      <c r="J434" s="1" t="s">
        <v>18</v>
      </c>
      <c r="K434" s="1">
        <v>1</v>
      </c>
      <c r="L434" s="1">
        <v>22</v>
      </c>
      <c r="M434" s="1">
        <v>22</v>
      </c>
      <c r="N434" s="1">
        <v>10</v>
      </c>
      <c r="O434" s="1">
        <v>12</v>
      </c>
      <c r="P434" s="1" t="s">
        <v>1049</v>
      </c>
      <c r="Q434" s="1">
        <v>50</v>
      </c>
      <c r="R434" s="1" t="s">
        <v>31</v>
      </c>
      <c r="S434" s="1">
        <v>5</v>
      </c>
    </row>
    <row r="435" spans="1:19" x14ac:dyDescent="0.3">
      <c r="A435" s="1" t="s">
        <v>913</v>
      </c>
      <c r="B435" s="2">
        <v>45660</v>
      </c>
      <c r="C435" s="1" t="str">
        <f t="shared" si="12"/>
        <v>Fri</v>
      </c>
      <c r="D435" s="1" t="str">
        <f t="shared" si="13"/>
        <v>Weekday</v>
      </c>
      <c r="E435" s="3">
        <v>0.78125</v>
      </c>
      <c r="F435" s="1" t="s">
        <v>914</v>
      </c>
      <c r="G435" s="1" t="s">
        <v>48</v>
      </c>
      <c r="H435" s="1" t="s">
        <v>29</v>
      </c>
      <c r="I435" s="1" t="s">
        <v>87</v>
      </c>
      <c r="J435" s="1" t="s">
        <v>88</v>
      </c>
      <c r="K435" s="1">
        <v>4</v>
      </c>
      <c r="L435" s="1">
        <v>16</v>
      </c>
      <c r="M435" s="1">
        <v>64</v>
      </c>
      <c r="N435" s="1">
        <v>0</v>
      </c>
      <c r="O435" s="1">
        <v>64</v>
      </c>
      <c r="P435" s="1" t="s">
        <v>19</v>
      </c>
      <c r="Q435" s="1">
        <v>55</v>
      </c>
      <c r="R435" s="1" t="s">
        <v>31</v>
      </c>
      <c r="S435" s="1">
        <v>2</v>
      </c>
    </row>
    <row r="436" spans="1:19" x14ac:dyDescent="0.3">
      <c r="A436" s="1" t="s">
        <v>915</v>
      </c>
      <c r="B436" s="2">
        <v>45901</v>
      </c>
      <c r="C436" s="1" t="str">
        <f t="shared" si="12"/>
        <v>Mon</v>
      </c>
      <c r="D436" s="1" t="str">
        <f t="shared" si="13"/>
        <v>Weekday</v>
      </c>
      <c r="E436" s="3">
        <v>0.4375</v>
      </c>
      <c r="F436" s="1" t="s">
        <v>916</v>
      </c>
      <c r="G436" s="1" t="s">
        <v>34</v>
      </c>
      <c r="H436" s="1" t="s">
        <v>35</v>
      </c>
      <c r="I436" s="1" t="s">
        <v>51</v>
      </c>
      <c r="J436" s="1" t="s">
        <v>18</v>
      </c>
      <c r="K436" s="1">
        <v>5</v>
      </c>
      <c r="L436" s="1">
        <v>65</v>
      </c>
      <c r="M436" s="1">
        <v>325</v>
      </c>
      <c r="N436" s="1">
        <v>0</v>
      </c>
      <c r="O436" s="1">
        <v>325</v>
      </c>
      <c r="P436" s="1" t="s">
        <v>38</v>
      </c>
      <c r="Q436" s="1">
        <v>56</v>
      </c>
      <c r="R436" s="1" t="s">
        <v>20</v>
      </c>
      <c r="S436" s="1">
        <v>2</v>
      </c>
    </row>
    <row r="437" spans="1:19" x14ac:dyDescent="0.3">
      <c r="A437" s="1" t="s">
        <v>917</v>
      </c>
      <c r="B437" s="2">
        <v>45668</v>
      </c>
      <c r="C437" s="1" t="str">
        <f t="shared" si="12"/>
        <v>Sat</v>
      </c>
      <c r="D437" s="1" t="str">
        <f t="shared" si="13"/>
        <v>Weekend</v>
      </c>
      <c r="E437" s="3">
        <v>0.4375</v>
      </c>
      <c r="F437" s="1" t="s">
        <v>918</v>
      </c>
      <c r="G437" s="1" t="s">
        <v>45</v>
      </c>
      <c r="H437" s="1" t="s">
        <v>64</v>
      </c>
      <c r="I437" s="1" t="s">
        <v>30</v>
      </c>
      <c r="J437" s="1" t="s">
        <v>18</v>
      </c>
      <c r="K437" s="1">
        <v>6</v>
      </c>
      <c r="L437" s="1">
        <v>65</v>
      </c>
      <c r="M437" s="1">
        <v>390</v>
      </c>
      <c r="N437" s="1">
        <v>5</v>
      </c>
      <c r="O437" s="1">
        <v>385</v>
      </c>
      <c r="P437" s="1" t="s">
        <v>1048</v>
      </c>
      <c r="Q437" s="1">
        <v>14</v>
      </c>
      <c r="R437" s="1" t="s">
        <v>20</v>
      </c>
      <c r="S437" s="1"/>
    </row>
    <row r="438" spans="1:19" x14ac:dyDescent="0.3">
      <c r="A438" s="1" t="s">
        <v>919</v>
      </c>
      <c r="B438" s="2">
        <v>45663</v>
      </c>
      <c r="C438" s="1" t="str">
        <f t="shared" si="12"/>
        <v>Mon</v>
      </c>
      <c r="D438" s="1" t="str">
        <f t="shared" si="13"/>
        <v>Weekday</v>
      </c>
      <c r="E438" s="3">
        <v>0.4375</v>
      </c>
      <c r="F438" s="1" t="s">
        <v>920</v>
      </c>
      <c r="G438" s="1" t="s">
        <v>54</v>
      </c>
      <c r="H438" s="1" t="s">
        <v>29</v>
      </c>
      <c r="I438" s="1" t="s">
        <v>87</v>
      </c>
      <c r="J438" s="1" t="s">
        <v>88</v>
      </c>
      <c r="K438" s="1">
        <v>1</v>
      </c>
      <c r="L438" s="1">
        <v>73</v>
      </c>
      <c r="M438" s="1">
        <v>73</v>
      </c>
      <c r="N438" s="1">
        <v>0</v>
      </c>
      <c r="O438" s="1">
        <v>73</v>
      </c>
      <c r="P438" s="1" t="s">
        <v>1048</v>
      </c>
      <c r="Q438" s="1">
        <v>41</v>
      </c>
      <c r="R438" s="1" t="s">
        <v>20</v>
      </c>
      <c r="S438" s="1">
        <v>1</v>
      </c>
    </row>
    <row r="439" spans="1:19" x14ac:dyDescent="0.3">
      <c r="A439" s="1" t="s">
        <v>921</v>
      </c>
      <c r="B439" s="2">
        <v>45663</v>
      </c>
      <c r="C439" s="1" t="str">
        <f t="shared" si="12"/>
        <v>Mon</v>
      </c>
      <c r="D439" s="1" t="str">
        <f t="shared" si="13"/>
        <v>Weekday</v>
      </c>
      <c r="E439" s="3">
        <v>0.76041666666666663</v>
      </c>
      <c r="F439" s="1" t="s">
        <v>922</v>
      </c>
      <c r="G439" s="1" t="s">
        <v>84</v>
      </c>
      <c r="H439" s="1" t="s">
        <v>41</v>
      </c>
      <c r="I439" s="1" t="s">
        <v>87</v>
      </c>
      <c r="J439" s="1" t="s">
        <v>88</v>
      </c>
      <c r="K439" s="1">
        <v>2</v>
      </c>
      <c r="L439" s="1">
        <v>43</v>
      </c>
      <c r="M439" s="1">
        <v>86</v>
      </c>
      <c r="N439" s="1">
        <v>0</v>
      </c>
      <c r="O439" s="1">
        <v>86</v>
      </c>
      <c r="P439" s="1" t="s">
        <v>1048</v>
      </c>
      <c r="Q439" s="1">
        <v>23</v>
      </c>
      <c r="R439" s="1" t="s">
        <v>20</v>
      </c>
      <c r="S439" s="1">
        <v>5</v>
      </c>
    </row>
    <row r="440" spans="1:19" x14ac:dyDescent="0.3">
      <c r="A440" s="1" t="s">
        <v>923</v>
      </c>
      <c r="B440" s="2">
        <v>45809</v>
      </c>
      <c r="C440" s="1" t="str">
        <f t="shared" si="12"/>
        <v>Sun</v>
      </c>
      <c r="D440" s="1" t="str">
        <f t="shared" si="13"/>
        <v>Weekend</v>
      </c>
      <c r="E440" s="3">
        <v>0.78125</v>
      </c>
      <c r="F440" s="1" t="s">
        <v>924</v>
      </c>
      <c r="G440" s="1" t="s">
        <v>45</v>
      </c>
      <c r="H440" s="1" t="s">
        <v>29</v>
      </c>
      <c r="I440" s="1" t="s">
        <v>51</v>
      </c>
      <c r="J440" s="1" t="s">
        <v>18</v>
      </c>
      <c r="K440" s="1">
        <v>1</v>
      </c>
      <c r="L440" s="1">
        <v>111</v>
      </c>
      <c r="M440" s="1">
        <v>111</v>
      </c>
      <c r="N440" s="1">
        <v>0</v>
      </c>
      <c r="O440" s="1">
        <v>111</v>
      </c>
      <c r="P440" s="1" t="s">
        <v>1049</v>
      </c>
      <c r="Q440" s="1">
        <v>19</v>
      </c>
      <c r="R440" s="1" t="s">
        <v>31</v>
      </c>
      <c r="S440" s="1"/>
    </row>
    <row r="441" spans="1:19" x14ac:dyDescent="0.3">
      <c r="A441" s="1" t="s">
        <v>925</v>
      </c>
      <c r="B441" s="2">
        <v>45668</v>
      </c>
      <c r="C441" s="1" t="str">
        <f t="shared" si="12"/>
        <v>Sat</v>
      </c>
      <c r="D441" s="1" t="str">
        <f t="shared" si="13"/>
        <v>Weekend</v>
      </c>
      <c r="E441" s="3">
        <v>0.76041666666666663</v>
      </c>
      <c r="F441" s="1" t="s">
        <v>926</v>
      </c>
      <c r="G441" s="1" t="s">
        <v>84</v>
      </c>
      <c r="H441" s="1" t="s">
        <v>23</v>
      </c>
      <c r="I441" s="1" t="s">
        <v>74</v>
      </c>
      <c r="J441" s="1" t="s">
        <v>75</v>
      </c>
      <c r="K441" s="1">
        <v>4</v>
      </c>
      <c r="L441" s="1">
        <v>51</v>
      </c>
      <c r="M441" s="1">
        <v>204</v>
      </c>
      <c r="N441" s="1">
        <v>0</v>
      </c>
      <c r="O441" s="1">
        <v>204</v>
      </c>
      <c r="P441" s="1" t="s">
        <v>1048</v>
      </c>
      <c r="Q441" s="1">
        <v>54</v>
      </c>
      <c r="R441" s="1" t="s">
        <v>31</v>
      </c>
      <c r="S441" s="1"/>
    </row>
    <row r="442" spans="1:19" x14ac:dyDescent="0.3">
      <c r="A442" s="1" t="s">
        <v>927</v>
      </c>
      <c r="B442" s="2">
        <v>45809</v>
      </c>
      <c r="C442" s="1" t="str">
        <f t="shared" si="12"/>
        <v>Sun</v>
      </c>
      <c r="D442" s="1" t="str">
        <f t="shared" si="13"/>
        <v>Weekend</v>
      </c>
      <c r="E442" s="3">
        <v>0.76041666666666663</v>
      </c>
      <c r="F442" s="1" t="s">
        <v>928</v>
      </c>
      <c r="G442" s="1" t="s">
        <v>45</v>
      </c>
      <c r="H442" s="1" t="s">
        <v>29</v>
      </c>
      <c r="I442" s="1" t="s">
        <v>30</v>
      </c>
      <c r="J442" s="1" t="s">
        <v>18</v>
      </c>
      <c r="K442" s="1">
        <v>6</v>
      </c>
      <c r="L442" s="1">
        <v>119</v>
      </c>
      <c r="M442" s="1">
        <v>714</v>
      </c>
      <c r="N442" s="1">
        <v>0</v>
      </c>
      <c r="O442" s="1">
        <v>714</v>
      </c>
      <c r="P442" s="1" t="s">
        <v>19</v>
      </c>
      <c r="Q442" s="1">
        <v>59</v>
      </c>
      <c r="R442" s="1" t="s">
        <v>20</v>
      </c>
      <c r="S442" s="1">
        <v>1</v>
      </c>
    </row>
    <row r="443" spans="1:19" x14ac:dyDescent="0.3">
      <c r="A443" s="1" t="s">
        <v>929</v>
      </c>
      <c r="B443" s="2">
        <v>45717</v>
      </c>
      <c r="C443" s="1" t="str">
        <f t="shared" si="12"/>
        <v>Sat</v>
      </c>
      <c r="D443" s="1" t="str">
        <f t="shared" si="13"/>
        <v>Weekend</v>
      </c>
      <c r="E443" s="3">
        <v>0.76041666666666663</v>
      </c>
      <c r="F443" s="1" t="s">
        <v>930</v>
      </c>
      <c r="G443" s="1" t="s">
        <v>1047</v>
      </c>
      <c r="H443" s="1" t="s">
        <v>23</v>
      </c>
      <c r="I443" s="1" t="s">
        <v>74</v>
      </c>
      <c r="J443" s="1" t="s">
        <v>75</v>
      </c>
      <c r="K443" s="1">
        <v>1</v>
      </c>
      <c r="L443" s="1">
        <v>67</v>
      </c>
      <c r="M443" s="1">
        <v>67</v>
      </c>
      <c r="N443" s="1">
        <v>10</v>
      </c>
      <c r="O443" s="1">
        <v>57</v>
      </c>
      <c r="P443" s="1" t="s">
        <v>1048</v>
      </c>
      <c r="Q443" s="1">
        <v>12</v>
      </c>
      <c r="R443" s="1" t="s">
        <v>20</v>
      </c>
      <c r="S443" s="1">
        <v>5</v>
      </c>
    </row>
    <row r="444" spans="1:19" x14ac:dyDescent="0.3">
      <c r="A444" s="1" t="s">
        <v>931</v>
      </c>
      <c r="B444" s="2">
        <v>45839</v>
      </c>
      <c r="C444" s="1" t="str">
        <f t="shared" si="12"/>
        <v>Tue</v>
      </c>
      <c r="D444" s="1" t="str">
        <f t="shared" si="13"/>
        <v>Weekday</v>
      </c>
      <c r="E444" s="3">
        <v>0.4375</v>
      </c>
      <c r="F444" s="1" t="s">
        <v>932</v>
      </c>
      <c r="G444" s="1" t="s">
        <v>48</v>
      </c>
      <c r="H444" s="1" t="s">
        <v>55</v>
      </c>
      <c r="I444" s="1" t="s">
        <v>51</v>
      </c>
      <c r="J444" s="1" t="s">
        <v>18</v>
      </c>
      <c r="K444" s="1">
        <v>5</v>
      </c>
      <c r="L444" s="1">
        <v>94</v>
      </c>
      <c r="M444" s="1">
        <v>470</v>
      </c>
      <c r="N444" s="1">
        <v>0</v>
      </c>
      <c r="O444" s="1">
        <v>470</v>
      </c>
      <c r="P444" s="1" t="s">
        <v>38</v>
      </c>
      <c r="Q444" s="1">
        <v>49</v>
      </c>
      <c r="R444" s="1" t="s">
        <v>20</v>
      </c>
      <c r="S444" s="1">
        <v>1</v>
      </c>
    </row>
    <row r="445" spans="1:19" x14ac:dyDescent="0.3">
      <c r="A445" s="1" t="s">
        <v>933</v>
      </c>
      <c r="B445" s="2">
        <v>45901</v>
      </c>
      <c r="C445" s="1" t="str">
        <f t="shared" si="12"/>
        <v>Mon</v>
      </c>
      <c r="D445" s="1" t="str">
        <f t="shared" si="13"/>
        <v>Weekday</v>
      </c>
      <c r="E445" s="3">
        <v>0.76041666666666663</v>
      </c>
      <c r="F445" s="1" t="s">
        <v>934</v>
      </c>
      <c r="G445" s="1" t="s">
        <v>48</v>
      </c>
      <c r="H445" s="1" t="s">
        <v>64</v>
      </c>
      <c r="I445" s="1" t="s">
        <v>51</v>
      </c>
      <c r="J445" s="1" t="s">
        <v>18</v>
      </c>
      <c r="K445" s="1">
        <v>2</v>
      </c>
      <c r="L445" s="1">
        <v>42</v>
      </c>
      <c r="M445" s="1">
        <v>84</v>
      </c>
      <c r="N445" s="1">
        <v>10</v>
      </c>
      <c r="O445" s="1">
        <v>74</v>
      </c>
      <c r="P445" s="1" t="s">
        <v>1049</v>
      </c>
      <c r="Q445" s="1">
        <v>45</v>
      </c>
      <c r="R445" s="1" t="s">
        <v>31</v>
      </c>
      <c r="S445" s="1">
        <v>4</v>
      </c>
    </row>
    <row r="446" spans="1:19" x14ac:dyDescent="0.3">
      <c r="A446" s="1" t="s">
        <v>935</v>
      </c>
      <c r="B446" s="2">
        <v>45658</v>
      </c>
      <c r="C446" s="1" t="str">
        <f t="shared" si="12"/>
        <v>Wed</v>
      </c>
      <c r="D446" s="1" t="str">
        <f t="shared" si="13"/>
        <v>Weekday</v>
      </c>
      <c r="E446" s="3">
        <v>0.4375</v>
      </c>
      <c r="F446" s="1" t="s">
        <v>936</v>
      </c>
      <c r="G446" s="1" t="s">
        <v>34</v>
      </c>
      <c r="H446" s="1" t="s">
        <v>64</v>
      </c>
      <c r="I446" s="1" t="s">
        <v>30</v>
      </c>
      <c r="J446" s="1" t="s">
        <v>18</v>
      </c>
      <c r="K446" s="1">
        <v>1</v>
      </c>
      <c r="L446" s="1">
        <v>108</v>
      </c>
      <c r="M446" s="1">
        <v>108</v>
      </c>
      <c r="N446" s="1">
        <v>5</v>
      </c>
      <c r="O446" s="1">
        <v>103</v>
      </c>
      <c r="P446" s="1" t="s">
        <v>1048</v>
      </c>
      <c r="Q446" s="1">
        <v>16</v>
      </c>
      <c r="R446" s="1" t="s">
        <v>20</v>
      </c>
      <c r="S446" s="1">
        <v>5</v>
      </c>
    </row>
    <row r="447" spans="1:19" x14ac:dyDescent="0.3">
      <c r="A447" s="1" t="s">
        <v>937</v>
      </c>
      <c r="B447" s="2">
        <v>45717</v>
      </c>
      <c r="C447" s="1" t="str">
        <f t="shared" si="12"/>
        <v>Sat</v>
      </c>
      <c r="D447" s="1" t="str">
        <f t="shared" si="13"/>
        <v>Weekend</v>
      </c>
      <c r="E447" s="3">
        <v>0.37847222222222221</v>
      </c>
      <c r="F447" s="1" t="s">
        <v>938</v>
      </c>
      <c r="G447" s="1" t="s">
        <v>34</v>
      </c>
      <c r="H447" s="1" t="s">
        <v>64</v>
      </c>
      <c r="I447" s="1" t="s">
        <v>17</v>
      </c>
      <c r="J447" s="1" t="s">
        <v>18</v>
      </c>
      <c r="K447" s="1">
        <v>1</v>
      </c>
      <c r="L447" s="1">
        <v>100</v>
      </c>
      <c r="M447" s="1">
        <v>100</v>
      </c>
      <c r="N447" s="1">
        <v>10</v>
      </c>
      <c r="O447" s="1">
        <v>90</v>
      </c>
      <c r="P447" s="1" t="s">
        <v>1049</v>
      </c>
      <c r="Q447" s="1">
        <v>57</v>
      </c>
      <c r="R447" s="1" t="s">
        <v>20</v>
      </c>
      <c r="S447" s="1"/>
    </row>
    <row r="448" spans="1:19" x14ac:dyDescent="0.3">
      <c r="A448" s="1" t="s">
        <v>939</v>
      </c>
      <c r="B448" s="2">
        <v>45901</v>
      </c>
      <c r="C448" s="1" t="str">
        <f t="shared" si="12"/>
        <v>Mon</v>
      </c>
      <c r="D448" s="1" t="str">
        <f t="shared" si="13"/>
        <v>Weekday</v>
      </c>
      <c r="E448" s="3">
        <v>0.37847222222222221</v>
      </c>
      <c r="F448" s="1" t="s">
        <v>940</v>
      </c>
      <c r="G448" s="1" t="s">
        <v>45</v>
      </c>
      <c r="H448" s="1" t="s">
        <v>73</v>
      </c>
      <c r="I448" s="1" t="s">
        <v>87</v>
      </c>
      <c r="J448" s="1" t="s">
        <v>88</v>
      </c>
      <c r="K448" s="1">
        <v>3</v>
      </c>
      <c r="L448" s="1">
        <v>56</v>
      </c>
      <c r="M448" s="1">
        <v>178</v>
      </c>
      <c r="N448" s="1">
        <v>10</v>
      </c>
      <c r="O448" s="1">
        <v>158</v>
      </c>
      <c r="P448" s="1" t="s">
        <v>1049</v>
      </c>
      <c r="Q448" s="1">
        <v>12</v>
      </c>
      <c r="R448" s="1" t="s">
        <v>31</v>
      </c>
      <c r="S448" s="1">
        <v>4</v>
      </c>
    </row>
    <row r="449" spans="1:19" x14ac:dyDescent="0.3">
      <c r="A449" s="1" t="s">
        <v>941</v>
      </c>
      <c r="B449" s="2">
        <v>45661</v>
      </c>
      <c r="C449" s="1" t="str">
        <f t="shared" si="12"/>
        <v>Sat</v>
      </c>
      <c r="D449" s="1" t="str">
        <f t="shared" si="13"/>
        <v>Weekend</v>
      </c>
      <c r="E449" s="3">
        <v>0.4375</v>
      </c>
      <c r="F449" s="1" t="s">
        <v>942</v>
      </c>
      <c r="G449" s="1" t="s">
        <v>48</v>
      </c>
      <c r="H449" s="1" t="s">
        <v>35</v>
      </c>
      <c r="I449" s="1" t="s">
        <v>87</v>
      </c>
      <c r="J449" s="1" t="s">
        <v>88</v>
      </c>
      <c r="K449" s="1">
        <v>5</v>
      </c>
      <c r="L449" s="1">
        <v>99</v>
      </c>
      <c r="M449" s="1">
        <v>495</v>
      </c>
      <c r="N449" s="1">
        <v>0</v>
      </c>
      <c r="O449" s="1">
        <v>495</v>
      </c>
      <c r="P449" s="1" t="s">
        <v>1048</v>
      </c>
      <c r="Q449" s="1">
        <v>17</v>
      </c>
      <c r="R449" s="1" t="s">
        <v>31</v>
      </c>
      <c r="S449" s="1">
        <v>4</v>
      </c>
    </row>
    <row r="450" spans="1:19" x14ac:dyDescent="0.3">
      <c r="A450" s="1" t="s">
        <v>943</v>
      </c>
      <c r="B450" s="2">
        <v>45931</v>
      </c>
      <c r="C450" s="1" t="str">
        <f t="shared" ref="C450:C501" si="14">TEXT(B450,"DDD")</f>
        <v>Wed</v>
      </c>
      <c r="D450" s="1" t="str">
        <f t="shared" si="13"/>
        <v>Weekday</v>
      </c>
      <c r="E450" s="3">
        <v>0.78125</v>
      </c>
      <c r="F450" s="1" t="s">
        <v>944</v>
      </c>
      <c r="G450" s="1" t="s">
        <v>28</v>
      </c>
      <c r="H450" s="1" t="s">
        <v>16</v>
      </c>
      <c r="I450" s="1" t="s">
        <v>51</v>
      </c>
      <c r="J450" s="1" t="s">
        <v>18</v>
      </c>
      <c r="K450" s="1">
        <v>5</v>
      </c>
      <c r="L450" s="1">
        <v>114</v>
      </c>
      <c r="M450" s="1">
        <v>570</v>
      </c>
      <c r="N450" s="1">
        <v>10</v>
      </c>
      <c r="O450" s="1">
        <v>560</v>
      </c>
      <c r="P450" s="1" t="s">
        <v>38</v>
      </c>
      <c r="Q450" s="1">
        <v>29</v>
      </c>
      <c r="R450" s="1" t="s">
        <v>31</v>
      </c>
      <c r="S450" s="1">
        <v>2</v>
      </c>
    </row>
    <row r="451" spans="1:19" x14ac:dyDescent="0.3">
      <c r="A451" s="1" t="s">
        <v>945</v>
      </c>
      <c r="B451" s="2">
        <v>45663</v>
      </c>
      <c r="C451" s="1" t="str">
        <f t="shared" si="14"/>
        <v>Mon</v>
      </c>
      <c r="D451" s="1" t="str">
        <f t="shared" ref="D451:D501" si="15">IF(OR(C451="Sat",C451="Sun"),"Weekend","Weekday")</f>
        <v>Weekday</v>
      </c>
      <c r="E451" s="3">
        <v>0.37847222222222221</v>
      </c>
      <c r="F451" s="1" t="s">
        <v>946</v>
      </c>
      <c r="G451" s="1" t="s">
        <v>84</v>
      </c>
      <c r="H451" s="1" t="s">
        <v>16</v>
      </c>
      <c r="I451" s="1" t="s">
        <v>99</v>
      </c>
      <c r="J451" s="1" t="s">
        <v>100</v>
      </c>
      <c r="K451" s="1">
        <v>3</v>
      </c>
      <c r="L451" s="1">
        <v>77</v>
      </c>
      <c r="M451" s="1">
        <v>231</v>
      </c>
      <c r="N451" s="1">
        <v>5</v>
      </c>
      <c r="O451" s="1">
        <v>226</v>
      </c>
      <c r="P451" s="1" t="s">
        <v>19</v>
      </c>
      <c r="Q451" s="1">
        <v>52</v>
      </c>
      <c r="R451" s="1" t="s">
        <v>20</v>
      </c>
      <c r="S451" s="1"/>
    </row>
    <row r="452" spans="1:19" x14ac:dyDescent="0.3">
      <c r="A452" s="1" t="s">
        <v>947</v>
      </c>
      <c r="B452" s="2">
        <v>45717</v>
      </c>
      <c r="C452" s="1" t="str">
        <f t="shared" si="14"/>
        <v>Sat</v>
      </c>
      <c r="D452" s="1" t="str">
        <f t="shared" si="15"/>
        <v>Weekend</v>
      </c>
      <c r="E452" s="3">
        <v>0.4375</v>
      </c>
      <c r="F452" s="1" t="s">
        <v>948</v>
      </c>
      <c r="G452" s="1" t="s">
        <v>48</v>
      </c>
      <c r="H452" s="1" t="s">
        <v>41</v>
      </c>
      <c r="I452" s="1" t="s">
        <v>74</v>
      </c>
      <c r="J452" s="1" t="s">
        <v>75</v>
      </c>
      <c r="K452" s="1">
        <v>4</v>
      </c>
      <c r="L452" s="1">
        <v>28</v>
      </c>
      <c r="M452" s="1">
        <v>112</v>
      </c>
      <c r="N452" s="1">
        <v>5</v>
      </c>
      <c r="O452" s="1">
        <v>107</v>
      </c>
      <c r="P452" s="1" t="s">
        <v>1048</v>
      </c>
      <c r="Q452" s="1">
        <v>16</v>
      </c>
      <c r="R452" s="1" t="s">
        <v>20</v>
      </c>
      <c r="S452" s="1">
        <v>3</v>
      </c>
    </row>
    <row r="453" spans="1:19" x14ac:dyDescent="0.3">
      <c r="A453" s="1" t="s">
        <v>949</v>
      </c>
      <c r="B453" s="2">
        <v>45901</v>
      </c>
      <c r="C453" s="1" t="str">
        <f t="shared" si="14"/>
        <v>Mon</v>
      </c>
      <c r="D453" s="1" t="str">
        <f t="shared" si="15"/>
        <v>Weekday</v>
      </c>
      <c r="E453" s="3">
        <v>0.4375</v>
      </c>
      <c r="F453" s="1" t="s">
        <v>950</v>
      </c>
      <c r="G453" s="1" t="s">
        <v>28</v>
      </c>
      <c r="H453" s="1" t="s">
        <v>64</v>
      </c>
      <c r="I453" s="1" t="s">
        <v>24</v>
      </c>
      <c r="J453" s="1" t="s">
        <v>25</v>
      </c>
      <c r="K453" s="1">
        <v>4</v>
      </c>
      <c r="L453" s="1">
        <v>50</v>
      </c>
      <c r="M453" s="1">
        <v>200</v>
      </c>
      <c r="N453" s="1">
        <v>5</v>
      </c>
      <c r="O453" s="1">
        <v>195</v>
      </c>
      <c r="P453" s="1" t="s">
        <v>19</v>
      </c>
      <c r="Q453" s="1">
        <v>31</v>
      </c>
      <c r="R453" s="1" t="s">
        <v>20</v>
      </c>
      <c r="S453" s="1">
        <v>3</v>
      </c>
    </row>
    <row r="454" spans="1:19" x14ac:dyDescent="0.3">
      <c r="A454" s="1" t="s">
        <v>951</v>
      </c>
      <c r="B454" s="2">
        <v>45689</v>
      </c>
      <c r="C454" s="1" t="str">
        <f t="shared" si="14"/>
        <v>Sat</v>
      </c>
      <c r="D454" s="1" t="str">
        <f t="shared" si="15"/>
        <v>Weekend</v>
      </c>
      <c r="E454" s="3">
        <v>0.78125</v>
      </c>
      <c r="F454" s="1" t="s">
        <v>952</v>
      </c>
      <c r="G454" s="1" t="s">
        <v>84</v>
      </c>
      <c r="H454" s="1" t="s">
        <v>64</v>
      </c>
      <c r="I454" s="1" t="s">
        <v>17</v>
      </c>
      <c r="J454" s="1" t="s">
        <v>18</v>
      </c>
      <c r="K454" s="1">
        <v>2</v>
      </c>
      <c r="L454" s="1">
        <v>36</v>
      </c>
      <c r="M454" s="1">
        <v>72</v>
      </c>
      <c r="N454" s="1">
        <v>10</v>
      </c>
      <c r="O454" s="1">
        <v>62</v>
      </c>
      <c r="P454" s="1" t="s">
        <v>1048</v>
      </c>
      <c r="Q454" s="1">
        <v>17</v>
      </c>
      <c r="R454" s="1" t="s">
        <v>20</v>
      </c>
      <c r="S454" s="1">
        <v>5</v>
      </c>
    </row>
    <row r="455" spans="1:19" x14ac:dyDescent="0.3">
      <c r="A455" s="1" t="s">
        <v>953</v>
      </c>
      <c r="B455" s="2">
        <v>45839</v>
      </c>
      <c r="C455" s="1" t="str">
        <f t="shared" si="14"/>
        <v>Tue</v>
      </c>
      <c r="D455" s="1" t="str">
        <f t="shared" si="15"/>
        <v>Weekday</v>
      </c>
      <c r="E455" s="3">
        <v>0.4375</v>
      </c>
      <c r="F455" s="1" t="s">
        <v>954</v>
      </c>
      <c r="G455" s="1" t="s">
        <v>84</v>
      </c>
      <c r="H455" s="1" t="s">
        <v>16</v>
      </c>
      <c r="I455" s="1" t="s">
        <v>17</v>
      </c>
      <c r="J455" s="1" t="s">
        <v>18</v>
      </c>
      <c r="K455" s="1">
        <v>3</v>
      </c>
      <c r="L455" s="1">
        <v>83</v>
      </c>
      <c r="M455" s="1">
        <v>259</v>
      </c>
      <c r="N455" s="1">
        <v>0</v>
      </c>
      <c r="O455" s="1">
        <v>249</v>
      </c>
      <c r="P455" s="1" t="s">
        <v>1048</v>
      </c>
      <c r="Q455" s="1">
        <v>57</v>
      </c>
      <c r="R455" s="1" t="s">
        <v>31</v>
      </c>
      <c r="S455" s="1">
        <v>2</v>
      </c>
    </row>
    <row r="456" spans="1:19" x14ac:dyDescent="0.3">
      <c r="A456" s="1" t="s">
        <v>955</v>
      </c>
      <c r="B456" s="2">
        <v>45659</v>
      </c>
      <c r="C456" s="1" t="str">
        <f t="shared" si="14"/>
        <v>Thu</v>
      </c>
      <c r="D456" s="1" t="str">
        <f t="shared" si="15"/>
        <v>Weekday</v>
      </c>
      <c r="E456" s="3">
        <v>0.37847222222222221</v>
      </c>
      <c r="F456" s="1" t="s">
        <v>956</v>
      </c>
      <c r="G456" s="1" t="s">
        <v>28</v>
      </c>
      <c r="H456" s="1" t="s">
        <v>29</v>
      </c>
      <c r="I456" s="1" t="s">
        <v>74</v>
      </c>
      <c r="J456" s="1" t="s">
        <v>75</v>
      </c>
      <c r="K456" s="1">
        <v>4</v>
      </c>
      <c r="L456" s="1">
        <v>77</v>
      </c>
      <c r="M456" s="1">
        <v>308</v>
      </c>
      <c r="N456" s="1">
        <v>0</v>
      </c>
      <c r="O456" s="1">
        <v>308</v>
      </c>
      <c r="P456" s="1" t="s">
        <v>1048</v>
      </c>
      <c r="Q456" s="1">
        <v>40</v>
      </c>
      <c r="R456" s="1" t="s">
        <v>31</v>
      </c>
      <c r="S456" s="1">
        <v>2</v>
      </c>
    </row>
    <row r="457" spans="1:19" x14ac:dyDescent="0.3">
      <c r="A457" s="1" t="s">
        <v>957</v>
      </c>
      <c r="B457" s="2">
        <v>45689</v>
      </c>
      <c r="C457" s="1" t="str">
        <f t="shared" si="14"/>
        <v>Sat</v>
      </c>
      <c r="D457" s="1" t="str">
        <f t="shared" si="15"/>
        <v>Weekend</v>
      </c>
      <c r="E457" s="3">
        <v>0.37847222222222221</v>
      </c>
      <c r="F457" s="1" t="s">
        <v>958</v>
      </c>
      <c r="G457" s="1" t="s">
        <v>48</v>
      </c>
      <c r="H457" s="1" t="s">
        <v>64</v>
      </c>
      <c r="I457" s="1" t="s">
        <v>42</v>
      </c>
      <c r="J457" s="1" t="s">
        <v>25</v>
      </c>
      <c r="K457" s="1">
        <v>6</v>
      </c>
      <c r="L457" s="1">
        <v>36</v>
      </c>
      <c r="M457" s="1">
        <v>216</v>
      </c>
      <c r="N457" s="1">
        <v>0</v>
      </c>
      <c r="O457" s="1">
        <v>216</v>
      </c>
      <c r="P457" s="1" t="s">
        <v>1048</v>
      </c>
      <c r="Q457" s="1">
        <v>42</v>
      </c>
      <c r="R457" s="1" t="s">
        <v>20</v>
      </c>
      <c r="S457" s="1">
        <v>2</v>
      </c>
    </row>
    <row r="458" spans="1:19" x14ac:dyDescent="0.3">
      <c r="A458" s="1" t="s">
        <v>959</v>
      </c>
      <c r="B458" s="2">
        <v>45689</v>
      </c>
      <c r="C458" s="1" t="str">
        <f t="shared" si="14"/>
        <v>Sat</v>
      </c>
      <c r="D458" s="1" t="str">
        <f t="shared" si="15"/>
        <v>Weekend</v>
      </c>
      <c r="E458" s="3">
        <v>0.37847222222222221</v>
      </c>
      <c r="F458" s="1" t="s">
        <v>960</v>
      </c>
      <c r="G458" s="1" t="s">
        <v>45</v>
      </c>
      <c r="H458" s="1" t="s">
        <v>23</v>
      </c>
      <c r="I458" s="1" t="s">
        <v>74</v>
      </c>
      <c r="J458" s="1" t="s">
        <v>75</v>
      </c>
      <c r="K458" s="1">
        <v>4</v>
      </c>
      <c r="L458" s="1">
        <v>56</v>
      </c>
      <c r="M458" s="1">
        <v>224</v>
      </c>
      <c r="N458" s="1">
        <v>10</v>
      </c>
      <c r="O458" s="1">
        <v>214</v>
      </c>
      <c r="P458" s="1" t="s">
        <v>1049</v>
      </c>
      <c r="Q458" s="1">
        <v>25</v>
      </c>
      <c r="R458" s="1" t="s">
        <v>20</v>
      </c>
      <c r="S458" s="1">
        <v>4</v>
      </c>
    </row>
    <row r="459" spans="1:19" x14ac:dyDescent="0.3">
      <c r="A459" s="1" t="s">
        <v>961</v>
      </c>
      <c r="B459" s="2">
        <v>45901</v>
      </c>
      <c r="C459" s="1" t="str">
        <f t="shared" si="14"/>
        <v>Mon</v>
      </c>
      <c r="D459" s="1" t="str">
        <f t="shared" si="15"/>
        <v>Weekday</v>
      </c>
      <c r="E459" s="3">
        <v>0.37847222222222221</v>
      </c>
      <c r="F459" s="1" t="s">
        <v>962</v>
      </c>
      <c r="G459" s="1" t="s">
        <v>28</v>
      </c>
      <c r="H459" s="1" t="s">
        <v>16</v>
      </c>
      <c r="I459" s="1" t="s">
        <v>30</v>
      </c>
      <c r="J459" s="1" t="s">
        <v>18</v>
      </c>
      <c r="K459" s="1">
        <v>3</v>
      </c>
      <c r="L459" s="1">
        <v>110</v>
      </c>
      <c r="M459" s="1">
        <v>330</v>
      </c>
      <c r="N459" s="1">
        <v>10</v>
      </c>
      <c r="O459" s="1">
        <v>320</v>
      </c>
      <c r="P459" s="1" t="s">
        <v>38</v>
      </c>
      <c r="Q459" s="1">
        <v>56</v>
      </c>
      <c r="R459" s="1" t="s">
        <v>20</v>
      </c>
      <c r="S459" s="1">
        <v>2</v>
      </c>
    </row>
    <row r="460" spans="1:19" x14ac:dyDescent="0.3">
      <c r="A460" s="1" t="s">
        <v>963</v>
      </c>
      <c r="B460" s="2">
        <v>45901</v>
      </c>
      <c r="C460" s="1" t="str">
        <f t="shared" si="14"/>
        <v>Mon</v>
      </c>
      <c r="D460" s="1" t="str">
        <f t="shared" si="15"/>
        <v>Weekday</v>
      </c>
      <c r="E460" s="3">
        <v>0.37847222222222221</v>
      </c>
      <c r="F460" s="1" t="s">
        <v>964</v>
      </c>
      <c r="G460" s="1" t="s">
        <v>84</v>
      </c>
      <c r="H460" s="1" t="s">
        <v>64</v>
      </c>
      <c r="I460" s="1" t="s">
        <v>51</v>
      </c>
      <c r="J460" s="1" t="s">
        <v>18</v>
      </c>
      <c r="K460" s="1">
        <v>4</v>
      </c>
      <c r="L460" s="1">
        <v>106</v>
      </c>
      <c r="M460" s="1">
        <v>424</v>
      </c>
      <c r="N460" s="1">
        <v>10</v>
      </c>
      <c r="O460" s="1">
        <v>414</v>
      </c>
      <c r="P460" s="1" t="s">
        <v>38</v>
      </c>
      <c r="Q460" s="1">
        <v>45</v>
      </c>
      <c r="R460" s="1" t="s">
        <v>31</v>
      </c>
      <c r="S460" s="1"/>
    </row>
    <row r="461" spans="1:19" x14ac:dyDescent="0.3">
      <c r="A461" s="1" t="s">
        <v>965</v>
      </c>
      <c r="B461" s="2">
        <v>45809</v>
      </c>
      <c r="C461" s="1" t="str">
        <f t="shared" si="14"/>
        <v>Sun</v>
      </c>
      <c r="D461" s="1" t="str">
        <f t="shared" si="15"/>
        <v>Weekend</v>
      </c>
      <c r="E461" s="3">
        <v>0.37847222222222221</v>
      </c>
      <c r="F461" s="1" t="s">
        <v>966</v>
      </c>
      <c r="G461" s="1" t="s">
        <v>45</v>
      </c>
      <c r="H461" s="1" t="s">
        <v>55</v>
      </c>
      <c r="I461" s="1" t="s">
        <v>17</v>
      </c>
      <c r="J461" s="1" t="s">
        <v>18</v>
      </c>
      <c r="K461" s="1">
        <v>5</v>
      </c>
      <c r="L461" s="1">
        <v>60</v>
      </c>
      <c r="M461" s="1">
        <v>300</v>
      </c>
      <c r="N461" s="1">
        <v>10</v>
      </c>
      <c r="O461" s="1">
        <v>290</v>
      </c>
      <c r="P461" s="1" t="s">
        <v>38</v>
      </c>
      <c r="Q461" s="1">
        <v>53</v>
      </c>
      <c r="R461" s="1" t="s">
        <v>31</v>
      </c>
      <c r="S461" s="1">
        <v>3</v>
      </c>
    </row>
    <row r="462" spans="1:19" x14ac:dyDescent="0.3">
      <c r="A462" s="1" t="s">
        <v>967</v>
      </c>
      <c r="B462" s="2">
        <v>45665</v>
      </c>
      <c r="C462" s="1" t="str">
        <f t="shared" si="14"/>
        <v>Wed</v>
      </c>
      <c r="D462" s="1" t="str">
        <f t="shared" si="15"/>
        <v>Weekday</v>
      </c>
      <c r="E462" s="3">
        <v>0.37847222222222221</v>
      </c>
      <c r="F462" s="1" t="s">
        <v>968</v>
      </c>
      <c r="G462" s="1" t="s">
        <v>34</v>
      </c>
      <c r="H462" s="1" t="s">
        <v>35</v>
      </c>
      <c r="I462" s="1" t="s">
        <v>99</v>
      </c>
      <c r="J462" s="1" t="s">
        <v>100</v>
      </c>
      <c r="K462" s="1">
        <v>4</v>
      </c>
      <c r="L462" s="1">
        <v>44</v>
      </c>
      <c r="M462" s="1">
        <v>176</v>
      </c>
      <c r="N462" s="1">
        <v>0</v>
      </c>
      <c r="O462" s="1">
        <v>176</v>
      </c>
      <c r="P462" s="1" t="s">
        <v>38</v>
      </c>
      <c r="Q462" s="1">
        <v>54</v>
      </c>
      <c r="R462" s="1" t="s">
        <v>20</v>
      </c>
      <c r="S462" s="1">
        <v>4</v>
      </c>
    </row>
    <row r="463" spans="1:19" x14ac:dyDescent="0.3">
      <c r="A463" s="1" t="s">
        <v>969</v>
      </c>
      <c r="B463" s="2">
        <v>45778</v>
      </c>
      <c r="C463" s="1" t="str">
        <f t="shared" si="14"/>
        <v>Thu</v>
      </c>
      <c r="D463" s="1" t="str">
        <f t="shared" si="15"/>
        <v>Weekday</v>
      </c>
      <c r="E463" s="3">
        <v>0.37847222222222221</v>
      </c>
      <c r="F463" s="1" t="s">
        <v>970</v>
      </c>
      <c r="G463" s="1" t="s">
        <v>84</v>
      </c>
      <c r="H463" s="1" t="s">
        <v>41</v>
      </c>
      <c r="I463" s="1" t="s">
        <v>36</v>
      </c>
      <c r="J463" s="1" t="s">
        <v>37</v>
      </c>
      <c r="K463" s="1">
        <v>6</v>
      </c>
      <c r="L463" s="1">
        <v>85</v>
      </c>
      <c r="M463" s="1">
        <v>510</v>
      </c>
      <c r="N463" s="1">
        <v>10</v>
      </c>
      <c r="O463" s="1">
        <v>500</v>
      </c>
      <c r="P463" s="1" t="s">
        <v>1049</v>
      </c>
      <c r="Q463" s="1">
        <v>40</v>
      </c>
      <c r="R463" s="1" t="s">
        <v>20</v>
      </c>
      <c r="S463" s="1">
        <v>2</v>
      </c>
    </row>
    <row r="464" spans="1:19" x14ac:dyDescent="0.3">
      <c r="A464" s="1" t="s">
        <v>971</v>
      </c>
      <c r="B464" s="2">
        <v>45689</v>
      </c>
      <c r="C464" s="1" t="str">
        <f t="shared" si="14"/>
        <v>Sat</v>
      </c>
      <c r="D464" s="1" t="str">
        <f t="shared" si="15"/>
        <v>Weekend</v>
      </c>
      <c r="E464" s="3">
        <v>0.4375</v>
      </c>
      <c r="F464" s="1" t="s">
        <v>972</v>
      </c>
      <c r="G464" s="1" t="s">
        <v>54</v>
      </c>
      <c r="H464" s="1" t="s">
        <v>23</v>
      </c>
      <c r="I464" s="1" t="s">
        <v>24</v>
      </c>
      <c r="J464" s="1" t="s">
        <v>25</v>
      </c>
      <c r="K464" s="1">
        <v>3</v>
      </c>
      <c r="L464" s="1">
        <v>41</v>
      </c>
      <c r="M464" s="1">
        <v>123</v>
      </c>
      <c r="N464" s="1">
        <v>0</v>
      </c>
      <c r="O464" s="1">
        <v>123</v>
      </c>
      <c r="P464" s="1" t="s">
        <v>1048</v>
      </c>
      <c r="Q464" s="1">
        <v>15</v>
      </c>
      <c r="R464" s="1" t="s">
        <v>20</v>
      </c>
      <c r="S464" s="1"/>
    </row>
    <row r="465" spans="1:19" x14ac:dyDescent="0.3">
      <c r="A465" s="1" t="s">
        <v>973</v>
      </c>
      <c r="B465" s="2">
        <v>45748</v>
      </c>
      <c r="C465" s="1" t="str">
        <f t="shared" si="14"/>
        <v>Tue</v>
      </c>
      <c r="D465" s="1" t="str">
        <f t="shared" si="15"/>
        <v>Weekday</v>
      </c>
      <c r="E465" s="3">
        <v>0.37847222222222221</v>
      </c>
      <c r="F465" s="1" t="s">
        <v>974</v>
      </c>
      <c r="G465" s="1" t="s">
        <v>28</v>
      </c>
      <c r="H465" s="1" t="s">
        <v>64</v>
      </c>
      <c r="I465" s="1" t="s">
        <v>24</v>
      </c>
      <c r="J465" s="1" t="s">
        <v>25</v>
      </c>
      <c r="K465" s="1">
        <v>6</v>
      </c>
      <c r="L465" s="1">
        <v>102</v>
      </c>
      <c r="M465" s="1">
        <v>612</v>
      </c>
      <c r="N465" s="1">
        <v>0</v>
      </c>
      <c r="O465" s="1">
        <v>612</v>
      </c>
      <c r="P465" s="1" t="s">
        <v>19</v>
      </c>
      <c r="Q465" s="1">
        <v>58</v>
      </c>
      <c r="R465" s="1" t="s">
        <v>20</v>
      </c>
      <c r="S465" s="1">
        <v>2</v>
      </c>
    </row>
    <row r="466" spans="1:19" x14ac:dyDescent="0.3">
      <c r="A466" s="1" t="s">
        <v>975</v>
      </c>
      <c r="B466" s="2">
        <v>45658</v>
      </c>
      <c r="C466" s="1" t="str">
        <f t="shared" si="14"/>
        <v>Wed</v>
      </c>
      <c r="D466" s="1" t="str">
        <f t="shared" si="15"/>
        <v>Weekday</v>
      </c>
      <c r="E466" s="3">
        <v>0.37847222222222221</v>
      </c>
      <c r="F466" s="1" t="s">
        <v>976</v>
      </c>
      <c r="G466" s="1" t="s">
        <v>28</v>
      </c>
      <c r="H466" s="1" t="s">
        <v>41</v>
      </c>
      <c r="I466" s="1" t="s">
        <v>99</v>
      </c>
      <c r="J466" s="1" t="s">
        <v>100</v>
      </c>
      <c r="K466" s="1">
        <v>1</v>
      </c>
      <c r="L466" s="1">
        <v>24</v>
      </c>
      <c r="M466" s="1">
        <v>24</v>
      </c>
      <c r="N466" s="1">
        <v>0</v>
      </c>
      <c r="O466" s="1">
        <v>24</v>
      </c>
      <c r="P466" s="1" t="s">
        <v>38</v>
      </c>
      <c r="Q466" s="1">
        <v>31</v>
      </c>
      <c r="R466" s="1" t="s">
        <v>31</v>
      </c>
      <c r="S466" s="1"/>
    </row>
    <row r="467" spans="1:19" x14ac:dyDescent="0.3">
      <c r="A467" s="1" t="s">
        <v>977</v>
      </c>
      <c r="B467" s="2">
        <v>45870</v>
      </c>
      <c r="C467" s="1" t="str">
        <f t="shared" si="14"/>
        <v>Fri</v>
      </c>
      <c r="D467" s="1" t="str">
        <f t="shared" si="15"/>
        <v>Weekday</v>
      </c>
      <c r="E467" s="3">
        <v>0.76041666666666663</v>
      </c>
      <c r="F467" s="1" t="s">
        <v>978</v>
      </c>
      <c r="G467" s="1" t="s">
        <v>28</v>
      </c>
      <c r="H467" s="1" t="s">
        <v>55</v>
      </c>
      <c r="I467" s="1" t="s">
        <v>51</v>
      </c>
      <c r="J467" s="1" t="s">
        <v>18</v>
      </c>
      <c r="K467" s="1">
        <v>4</v>
      </c>
      <c r="L467" s="1">
        <v>14</v>
      </c>
      <c r="M467" s="1">
        <v>56</v>
      </c>
      <c r="N467" s="1">
        <v>5</v>
      </c>
      <c r="O467" s="1">
        <v>51</v>
      </c>
      <c r="P467" s="1" t="s">
        <v>19</v>
      </c>
      <c r="Q467" s="1">
        <v>59</v>
      </c>
      <c r="R467" s="1" t="s">
        <v>31</v>
      </c>
      <c r="S467" s="1">
        <v>5</v>
      </c>
    </row>
    <row r="468" spans="1:19" x14ac:dyDescent="0.3">
      <c r="A468" s="1" t="s">
        <v>979</v>
      </c>
      <c r="B468" s="2">
        <v>45689</v>
      </c>
      <c r="C468" s="1" t="str">
        <f t="shared" si="14"/>
        <v>Sat</v>
      </c>
      <c r="D468" s="1" t="str">
        <f t="shared" si="15"/>
        <v>Weekend</v>
      </c>
      <c r="E468" s="3">
        <v>0.76041666666666663</v>
      </c>
      <c r="F468" s="1" t="s">
        <v>980</v>
      </c>
      <c r="G468" s="1" t="s">
        <v>28</v>
      </c>
      <c r="H468" s="1" t="s">
        <v>73</v>
      </c>
      <c r="I468" s="1" t="s">
        <v>17</v>
      </c>
      <c r="J468" s="1" t="s">
        <v>18</v>
      </c>
      <c r="K468" s="1">
        <v>3</v>
      </c>
      <c r="L468" s="1">
        <v>17</v>
      </c>
      <c r="M468" s="1">
        <v>51</v>
      </c>
      <c r="N468" s="1">
        <v>5</v>
      </c>
      <c r="O468" s="1">
        <v>46</v>
      </c>
      <c r="P468" s="1" t="s">
        <v>1049</v>
      </c>
      <c r="Q468" s="1">
        <v>21</v>
      </c>
      <c r="R468" s="1" t="s">
        <v>31</v>
      </c>
      <c r="S468" s="1">
        <v>2</v>
      </c>
    </row>
    <row r="469" spans="1:19" x14ac:dyDescent="0.3">
      <c r="A469" s="1" t="s">
        <v>981</v>
      </c>
      <c r="B469" s="2">
        <v>45962</v>
      </c>
      <c r="C469" s="1" t="str">
        <f t="shared" si="14"/>
        <v>Sat</v>
      </c>
      <c r="D469" s="1" t="str">
        <f t="shared" si="15"/>
        <v>Weekend</v>
      </c>
      <c r="E469" s="3">
        <v>0.37847222222222221</v>
      </c>
      <c r="F469" s="1" t="s">
        <v>982</v>
      </c>
      <c r="G469" s="1" t="s">
        <v>54</v>
      </c>
      <c r="H469" s="1" t="s">
        <v>64</v>
      </c>
      <c r="I469" s="1" t="s">
        <v>51</v>
      </c>
      <c r="J469" s="1" t="s">
        <v>18</v>
      </c>
      <c r="K469" s="1">
        <v>1</v>
      </c>
      <c r="L469" s="1">
        <v>116</v>
      </c>
      <c r="M469" s="1">
        <v>116</v>
      </c>
      <c r="N469" s="1">
        <v>0</v>
      </c>
      <c r="O469" s="1">
        <v>116</v>
      </c>
      <c r="P469" s="1" t="s">
        <v>1049</v>
      </c>
      <c r="Q469" s="1">
        <v>15</v>
      </c>
      <c r="R469" s="1" t="s">
        <v>31</v>
      </c>
      <c r="S469" s="1">
        <v>3</v>
      </c>
    </row>
    <row r="470" spans="1:19" x14ac:dyDescent="0.3">
      <c r="A470" s="1" t="s">
        <v>983</v>
      </c>
      <c r="B470" s="2">
        <v>45661</v>
      </c>
      <c r="C470" s="1" t="str">
        <f t="shared" si="14"/>
        <v>Sat</v>
      </c>
      <c r="D470" s="1" t="str">
        <f t="shared" si="15"/>
        <v>Weekend</v>
      </c>
      <c r="E470" s="3">
        <v>0.4375</v>
      </c>
      <c r="F470" s="1" t="s">
        <v>984</v>
      </c>
      <c r="G470" s="1" t="s">
        <v>34</v>
      </c>
      <c r="H470" s="1" t="s">
        <v>55</v>
      </c>
      <c r="I470" s="1" t="s">
        <v>24</v>
      </c>
      <c r="J470" s="1" t="s">
        <v>25</v>
      </c>
      <c r="K470" s="1">
        <v>5</v>
      </c>
      <c r="L470" s="1">
        <v>120</v>
      </c>
      <c r="M470" s="1">
        <v>600</v>
      </c>
      <c r="N470" s="1">
        <v>0</v>
      </c>
      <c r="O470" s="1">
        <v>600</v>
      </c>
      <c r="P470" s="1" t="s">
        <v>38</v>
      </c>
      <c r="Q470" s="1">
        <v>28</v>
      </c>
      <c r="R470" s="1" t="s">
        <v>31</v>
      </c>
      <c r="S470" s="1">
        <v>4</v>
      </c>
    </row>
    <row r="471" spans="1:19" x14ac:dyDescent="0.3">
      <c r="A471" s="1" t="s">
        <v>985</v>
      </c>
      <c r="B471" s="2">
        <v>45809</v>
      </c>
      <c r="C471" s="1" t="str">
        <f t="shared" si="14"/>
        <v>Sun</v>
      </c>
      <c r="D471" s="1" t="str">
        <f t="shared" si="15"/>
        <v>Weekend</v>
      </c>
      <c r="E471" s="3">
        <v>0.37847222222222221</v>
      </c>
      <c r="F471" s="1" t="s">
        <v>986</v>
      </c>
      <c r="G471" s="1" t="s">
        <v>48</v>
      </c>
      <c r="H471" s="1" t="s">
        <v>73</v>
      </c>
      <c r="I471" s="1" t="s">
        <v>99</v>
      </c>
      <c r="J471" s="1" t="s">
        <v>100</v>
      </c>
      <c r="K471" s="1">
        <v>1</v>
      </c>
      <c r="L471" s="1">
        <v>34</v>
      </c>
      <c r="M471" s="1">
        <v>34</v>
      </c>
      <c r="N471" s="1">
        <v>0</v>
      </c>
      <c r="O471" s="1">
        <v>34</v>
      </c>
      <c r="P471" s="1" t="s">
        <v>1048</v>
      </c>
      <c r="Q471" s="1">
        <v>60</v>
      </c>
      <c r="R471" s="1" t="s">
        <v>31</v>
      </c>
      <c r="S471" s="1">
        <v>3</v>
      </c>
    </row>
    <row r="472" spans="1:19" x14ac:dyDescent="0.3">
      <c r="A472" s="1" t="s">
        <v>987</v>
      </c>
      <c r="B472" s="2">
        <v>45668</v>
      </c>
      <c r="C472" s="1" t="str">
        <f t="shared" si="14"/>
        <v>Sat</v>
      </c>
      <c r="D472" s="1" t="str">
        <f t="shared" si="15"/>
        <v>Weekend</v>
      </c>
      <c r="E472" s="3">
        <v>0.4375</v>
      </c>
      <c r="F472" s="1" t="s">
        <v>988</v>
      </c>
      <c r="G472" s="1" t="s">
        <v>84</v>
      </c>
      <c r="H472" s="1" t="s">
        <v>73</v>
      </c>
      <c r="I472" s="1" t="s">
        <v>74</v>
      </c>
      <c r="J472" s="1" t="s">
        <v>75</v>
      </c>
      <c r="K472" s="1">
        <v>4</v>
      </c>
      <c r="L472" s="1">
        <v>90</v>
      </c>
      <c r="M472" s="1">
        <v>360</v>
      </c>
      <c r="N472" s="1">
        <v>10</v>
      </c>
      <c r="O472" s="1">
        <v>350</v>
      </c>
      <c r="P472" s="1" t="s">
        <v>1048</v>
      </c>
      <c r="Q472" s="1">
        <v>25</v>
      </c>
      <c r="R472" s="1" t="s">
        <v>20</v>
      </c>
      <c r="S472" s="1">
        <v>5</v>
      </c>
    </row>
    <row r="473" spans="1:19" x14ac:dyDescent="0.3">
      <c r="A473" s="1" t="s">
        <v>989</v>
      </c>
      <c r="B473" s="2">
        <v>45931</v>
      </c>
      <c r="C473" s="1" t="str">
        <f t="shared" si="14"/>
        <v>Wed</v>
      </c>
      <c r="D473" s="1" t="str">
        <f t="shared" si="15"/>
        <v>Weekday</v>
      </c>
      <c r="E473" s="3">
        <v>0.37847222222222221</v>
      </c>
      <c r="F473" s="1" t="s">
        <v>990</v>
      </c>
      <c r="G473" s="1" t="s">
        <v>48</v>
      </c>
      <c r="H473" s="1" t="s">
        <v>16</v>
      </c>
      <c r="I473" s="1" t="s">
        <v>87</v>
      </c>
      <c r="J473" s="1" t="s">
        <v>88</v>
      </c>
      <c r="K473" s="1">
        <v>2</v>
      </c>
      <c r="L473" s="1">
        <v>118</v>
      </c>
      <c r="M473" s="1">
        <v>236</v>
      </c>
      <c r="N473" s="1">
        <v>5</v>
      </c>
      <c r="O473" s="1">
        <v>231</v>
      </c>
      <c r="P473" s="1" t="s">
        <v>1048</v>
      </c>
      <c r="Q473" s="1">
        <v>22</v>
      </c>
      <c r="R473" s="1" t="s">
        <v>20</v>
      </c>
      <c r="S473" s="1">
        <v>5</v>
      </c>
    </row>
    <row r="474" spans="1:19" x14ac:dyDescent="0.3">
      <c r="A474" s="1" t="s">
        <v>991</v>
      </c>
      <c r="B474" s="2">
        <v>45717</v>
      </c>
      <c r="C474" s="1" t="str">
        <f t="shared" si="14"/>
        <v>Sat</v>
      </c>
      <c r="D474" s="1" t="str">
        <f t="shared" si="15"/>
        <v>Weekend</v>
      </c>
      <c r="E474" s="3">
        <v>0.4375</v>
      </c>
      <c r="F474" s="1" t="s">
        <v>992</v>
      </c>
      <c r="G474" s="1" t="s">
        <v>28</v>
      </c>
      <c r="H474" s="1" t="s">
        <v>29</v>
      </c>
      <c r="I474" s="1" t="s">
        <v>42</v>
      </c>
      <c r="J474" s="1" t="s">
        <v>25</v>
      </c>
      <c r="K474" s="1">
        <v>3</v>
      </c>
      <c r="L474" s="1">
        <v>120</v>
      </c>
      <c r="M474" s="1">
        <v>360</v>
      </c>
      <c r="N474" s="1">
        <v>5</v>
      </c>
      <c r="O474" s="1">
        <v>355</v>
      </c>
      <c r="P474" s="1" t="s">
        <v>1048</v>
      </c>
      <c r="Q474" s="1">
        <v>41</v>
      </c>
      <c r="R474" s="1" t="s">
        <v>20</v>
      </c>
      <c r="S474" s="1"/>
    </row>
    <row r="475" spans="1:19" x14ac:dyDescent="0.3">
      <c r="A475" s="1" t="s">
        <v>993</v>
      </c>
      <c r="B475" s="2">
        <v>45689</v>
      </c>
      <c r="C475" s="1" t="str">
        <f t="shared" si="14"/>
        <v>Sat</v>
      </c>
      <c r="D475" s="1" t="str">
        <f t="shared" si="15"/>
        <v>Weekend</v>
      </c>
      <c r="E475" s="3">
        <v>0.76041666666666663</v>
      </c>
      <c r="F475" s="1" t="s">
        <v>994</v>
      </c>
      <c r="G475" s="1" t="s">
        <v>54</v>
      </c>
      <c r="H475" s="1" t="s">
        <v>29</v>
      </c>
      <c r="I475" s="1" t="s">
        <v>51</v>
      </c>
      <c r="J475" s="1" t="s">
        <v>18</v>
      </c>
      <c r="K475" s="1">
        <v>2</v>
      </c>
      <c r="L475" s="1">
        <v>54</v>
      </c>
      <c r="M475" s="1">
        <v>108</v>
      </c>
      <c r="N475" s="1">
        <v>5</v>
      </c>
      <c r="O475" s="1">
        <v>103</v>
      </c>
      <c r="P475" s="1" t="s">
        <v>1048</v>
      </c>
      <c r="Q475" s="1">
        <v>48</v>
      </c>
      <c r="R475" s="1" t="s">
        <v>31</v>
      </c>
      <c r="S475" s="1">
        <v>2</v>
      </c>
    </row>
    <row r="476" spans="1:19" x14ac:dyDescent="0.3">
      <c r="A476" s="1" t="s">
        <v>995</v>
      </c>
      <c r="B476" s="2">
        <v>45931</v>
      </c>
      <c r="C476" s="1" t="str">
        <f t="shared" si="14"/>
        <v>Wed</v>
      </c>
      <c r="D476" s="1" t="str">
        <f t="shared" si="15"/>
        <v>Weekday</v>
      </c>
      <c r="E476" s="3">
        <v>0.78125</v>
      </c>
      <c r="F476" s="1" t="s">
        <v>996</v>
      </c>
      <c r="G476" s="1" t="s">
        <v>45</v>
      </c>
      <c r="H476" s="1" t="s">
        <v>73</v>
      </c>
      <c r="I476" s="1" t="s">
        <v>74</v>
      </c>
      <c r="J476" s="1" t="s">
        <v>75</v>
      </c>
      <c r="K476" s="1">
        <v>2</v>
      </c>
      <c r="L476" s="1">
        <v>105</v>
      </c>
      <c r="M476" s="1">
        <v>210</v>
      </c>
      <c r="N476" s="1">
        <v>0</v>
      </c>
      <c r="O476" s="1">
        <v>210</v>
      </c>
      <c r="P476" s="1" t="s">
        <v>19</v>
      </c>
      <c r="Q476" s="1">
        <v>50</v>
      </c>
      <c r="R476" s="1" t="s">
        <v>20</v>
      </c>
      <c r="S476" s="1"/>
    </row>
    <row r="477" spans="1:19" x14ac:dyDescent="0.3">
      <c r="A477" s="1" t="s">
        <v>997</v>
      </c>
      <c r="B477" s="2">
        <v>45665</v>
      </c>
      <c r="C477" s="1" t="str">
        <f t="shared" si="14"/>
        <v>Wed</v>
      </c>
      <c r="D477" s="1" t="str">
        <f t="shared" si="15"/>
        <v>Weekday</v>
      </c>
      <c r="E477" s="3">
        <v>0.37847222222222221</v>
      </c>
      <c r="F477" s="1" t="s">
        <v>998</v>
      </c>
      <c r="G477" s="1" t="s">
        <v>34</v>
      </c>
      <c r="H477" s="1" t="s">
        <v>29</v>
      </c>
      <c r="I477" s="1" t="s">
        <v>99</v>
      </c>
      <c r="J477" s="1" t="s">
        <v>100</v>
      </c>
      <c r="K477" s="1">
        <v>6</v>
      </c>
      <c r="L477" s="1">
        <v>77</v>
      </c>
      <c r="M477" s="1">
        <v>462</v>
      </c>
      <c r="N477" s="1">
        <v>0</v>
      </c>
      <c r="O477" s="1">
        <v>462</v>
      </c>
      <c r="P477" s="1" t="s">
        <v>38</v>
      </c>
      <c r="Q477" s="1">
        <v>40</v>
      </c>
      <c r="R477" s="1" t="s">
        <v>31</v>
      </c>
      <c r="S477" s="1">
        <v>2</v>
      </c>
    </row>
    <row r="478" spans="1:19" x14ac:dyDescent="0.3">
      <c r="A478" s="1" t="s">
        <v>999</v>
      </c>
      <c r="B478" s="2">
        <v>45809</v>
      </c>
      <c r="C478" s="1" t="str">
        <f t="shared" si="14"/>
        <v>Sun</v>
      </c>
      <c r="D478" s="1" t="str">
        <f t="shared" si="15"/>
        <v>Weekend</v>
      </c>
      <c r="E478" s="3">
        <v>0.78125</v>
      </c>
      <c r="F478" s="1" t="s">
        <v>1000</v>
      </c>
      <c r="G478" s="1" t="s">
        <v>34</v>
      </c>
      <c r="H478" s="1" t="s">
        <v>16</v>
      </c>
      <c r="I478" s="1" t="s">
        <v>17</v>
      </c>
      <c r="J478" s="1" t="s">
        <v>18</v>
      </c>
      <c r="K478" s="1">
        <v>5</v>
      </c>
      <c r="L478" s="1">
        <v>76</v>
      </c>
      <c r="M478" s="1">
        <v>380</v>
      </c>
      <c r="N478" s="1">
        <v>5</v>
      </c>
      <c r="O478" s="1">
        <v>375</v>
      </c>
      <c r="P478" s="1" t="s">
        <v>38</v>
      </c>
      <c r="Q478" s="1">
        <v>10</v>
      </c>
      <c r="R478" s="1" t="s">
        <v>31</v>
      </c>
      <c r="S478" s="1">
        <v>2</v>
      </c>
    </row>
    <row r="479" spans="1:19" x14ac:dyDescent="0.3">
      <c r="A479" s="1" t="s">
        <v>1001</v>
      </c>
      <c r="B479" s="2">
        <v>45778</v>
      </c>
      <c r="C479" s="1" t="str">
        <f t="shared" si="14"/>
        <v>Thu</v>
      </c>
      <c r="D479" s="1" t="str">
        <f t="shared" si="15"/>
        <v>Weekday</v>
      </c>
      <c r="E479" s="3">
        <v>0.78125</v>
      </c>
      <c r="F479" s="1" t="s">
        <v>1002</v>
      </c>
      <c r="G479" s="1" t="s">
        <v>48</v>
      </c>
      <c r="H479" s="1" t="s">
        <v>55</v>
      </c>
      <c r="I479" s="1" t="s">
        <v>74</v>
      </c>
      <c r="J479" s="1" t="s">
        <v>75</v>
      </c>
      <c r="K479" s="1">
        <v>6</v>
      </c>
      <c r="L479" s="1">
        <v>87</v>
      </c>
      <c r="M479" s="1">
        <v>522</v>
      </c>
      <c r="N479" s="1">
        <v>10</v>
      </c>
      <c r="O479" s="1">
        <v>512</v>
      </c>
      <c r="P479" s="1" t="s">
        <v>1049</v>
      </c>
      <c r="Q479" s="1">
        <v>50</v>
      </c>
      <c r="R479" s="1" t="s">
        <v>20</v>
      </c>
      <c r="S479" s="1">
        <v>4</v>
      </c>
    </row>
    <row r="480" spans="1:19" x14ac:dyDescent="0.3">
      <c r="A480" s="1" t="s">
        <v>1003</v>
      </c>
      <c r="B480" s="2">
        <v>45931</v>
      </c>
      <c r="C480" s="1" t="str">
        <f t="shared" si="14"/>
        <v>Wed</v>
      </c>
      <c r="D480" s="1" t="str">
        <f t="shared" si="15"/>
        <v>Weekday</v>
      </c>
      <c r="E480" s="3">
        <v>0.4375</v>
      </c>
      <c r="F480" s="1" t="s">
        <v>1004</v>
      </c>
      <c r="G480" s="1" t="s">
        <v>34</v>
      </c>
      <c r="H480" s="1" t="s">
        <v>55</v>
      </c>
      <c r="I480" s="1" t="s">
        <v>87</v>
      </c>
      <c r="J480" s="1" t="s">
        <v>88</v>
      </c>
      <c r="K480" s="1">
        <v>6</v>
      </c>
      <c r="L480" s="1">
        <v>46</v>
      </c>
      <c r="M480" s="1">
        <v>276</v>
      </c>
      <c r="N480" s="1">
        <v>10</v>
      </c>
      <c r="O480" s="1">
        <v>266</v>
      </c>
      <c r="P480" s="1" t="s">
        <v>1048</v>
      </c>
      <c r="Q480" s="1">
        <v>23</v>
      </c>
      <c r="R480" s="1" t="s">
        <v>20</v>
      </c>
      <c r="S480" s="1"/>
    </row>
    <row r="481" spans="1:19" x14ac:dyDescent="0.3">
      <c r="A481" s="1" t="s">
        <v>1005</v>
      </c>
      <c r="B481" s="2">
        <v>45748</v>
      </c>
      <c r="C481" s="1" t="str">
        <f t="shared" si="14"/>
        <v>Tue</v>
      </c>
      <c r="D481" s="1" t="str">
        <f t="shared" si="15"/>
        <v>Weekday</v>
      </c>
      <c r="E481" s="3">
        <v>0.37847222222222221</v>
      </c>
      <c r="F481" s="1" t="s">
        <v>1006</v>
      </c>
      <c r="G481" s="1" t="s">
        <v>34</v>
      </c>
      <c r="H481" s="1" t="s">
        <v>73</v>
      </c>
      <c r="I481" s="1" t="s">
        <v>42</v>
      </c>
      <c r="J481" s="1" t="s">
        <v>25</v>
      </c>
      <c r="K481" s="1">
        <v>5</v>
      </c>
      <c r="L481" s="1">
        <v>109</v>
      </c>
      <c r="M481" s="1">
        <v>545</v>
      </c>
      <c r="N481" s="1">
        <v>0</v>
      </c>
      <c r="O481" s="1">
        <v>545</v>
      </c>
      <c r="P481" s="1" t="s">
        <v>1048</v>
      </c>
      <c r="Q481" s="1">
        <v>51</v>
      </c>
      <c r="R481" s="1" t="s">
        <v>20</v>
      </c>
      <c r="S481" s="1">
        <v>5</v>
      </c>
    </row>
    <row r="482" spans="1:19" x14ac:dyDescent="0.3">
      <c r="A482" s="1" t="s">
        <v>1007</v>
      </c>
      <c r="B482" s="2">
        <v>45664</v>
      </c>
      <c r="C482" s="1" t="str">
        <f t="shared" si="14"/>
        <v>Tue</v>
      </c>
      <c r="D482" s="1" t="str">
        <f t="shared" si="15"/>
        <v>Weekday</v>
      </c>
      <c r="E482" s="3">
        <v>0.4375</v>
      </c>
      <c r="F482" s="1" t="s">
        <v>1008</v>
      </c>
      <c r="G482" s="1" t="s">
        <v>34</v>
      </c>
      <c r="H482" s="1" t="s">
        <v>16</v>
      </c>
      <c r="I482" s="1" t="s">
        <v>30</v>
      </c>
      <c r="J482" s="1" t="s">
        <v>18</v>
      </c>
      <c r="K482" s="1">
        <v>1</v>
      </c>
      <c r="L482" s="1">
        <v>94</v>
      </c>
      <c r="M482" s="1">
        <v>94</v>
      </c>
      <c r="N482" s="1">
        <v>5</v>
      </c>
      <c r="O482" s="1">
        <v>89</v>
      </c>
      <c r="P482" s="1" t="s">
        <v>19</v>
      </c>
      <c r="Q482" s="1">
        <v>37</v>
      </c>
      <c r="R482" s="1" t="s">
        <v>20</v>
      </c>
      <c r="S482" s="1"/>
    </row>
    <row r="483" spans="1:19" x14ac:dyDescent="0.3">
      <c r="A483" s="1" t="s">
        <v>1009</v>
      </c>
      <c r="B483" s="2">
        <v>45660</v>
      </c>
      <c r="C483" s="1" t="str">
        <f t="shared" si="14"/>
        <v>Fri</v>
      </c>
      <c r="D483" s="1" t="str">
        <f t="shared" si="15"/>
        <v>Weekday</v>
      </c>
      <c r="E483" s="3">
        <v>0.37847222222222221</v>
      </c>
      <c r="F483" s="1" t="s">
        <v>1010</v>
      </c>
      <c r="G483" s="1" t="s">
        <v>45</v>
      </c>
      <c r="H483" s="1" t="s">
        <v>35</v>
      </c>
      <c r="I483" s="1" t="s">
        <v>30</v>
      </c>
      <c r="J483" s="1" t="s">
        <v>18</v>
      </c>
      <c r="K483" s="1">
        <v>2</v>
      </c>
      <c r="L483" s="1">
        <v>92</v>
      </c>
      <c r="M483" s="1">
        <v>184</v>
      </c>
      <c r="N483" s="1">
        <v>0</v>
      </c>
      <c r="O483" s="1">
        <v>184</v>
      </c>
      <c r="P483" s="1" t="s">
        <v>1049</v>
      </c>
      <c r="Q483" s="1">
        <v>32</v>
      </c>
      <c r="R483" s="1" t="s">
        <v>31</v>
      </c>
      <c r="S483" s="1"/>
    </row>
    <row r="484" spans="1:19" x14ac:dyDescent="0.3">
      <c r="A484" s="1" t="s">
        <v>1011</v>
      </c>
      <c r="B484" s="2">
        <v>45962</v>
      </c>
      <c r="C484" s="1" t="str">
        <f t="shared" si="14"/>
        <v>Sat</v>
      </c>
      <c r="D484" s="1" t="str">
        <f t="shared" si="15"/>
        <v>Weekend</v>
      </c>
      <c r="E484" s="3">
        <v>0.4375</v>
      </c>
      <c r="F484" s="1" t="s">
        <v>1012</v>
      </c>
      <c r="G484" s="1" t="s">
        <v>48</v>
      </c>
      <c r="H484" s="1" t="s">
        <v>35</v>
      </c>
      <c r="I484" s="1" t="s">
        <v>17</v>
      </c>
      <c r="J484" s="1" t="s">
        <v>18</v>
      </c>
      <c r="K484" s="1">
        <v>5</v>
      </c>
      <c r="L484" s="1">
        <v>118</v>
      </c>
      <c r="M484" s="1">
        <v>590</v>
      </c>
      <c r="N484" s="1">
        <v>0</v>
      </c>
      <c r="O484" s="1">
        <v>590</v>
      </c>
      <c r="P484" s="1" t="s">
        <v>19</v>
      </c>
      <c r="Q484" s="1">
        <v>19</v>
      </c>
      <c r="R484" s="1" t="s">
        <v>20</v>
      </c>
      <c r="S484" s="1">
        <v>3</v>
      </c>
    </row>
    <row r="485" spans="1:19" x14ac:dyDescent="0.3">
      <c r="A485" s="1" t="s">
        <v>1013</v>
      </c>
      <c r="B485" s="2">
        <v>45660</v>
      </c>
      <c r="C485" s="1" t="str">
        <f t="shared" si="14"/>
        <v>Fri</v>
      </c>
      <c r="D485" s="1" t="str">
        <f t="shared" si="15"/>
        <v>Weekday</v>
      </c>
      <c r="E485" s="3">
        <v>0.78125</v>
      </c>
      <c r="F485" s="1" t="s">
        <v>1014</v>
      </c>
      <c r="G485" s="1" t="s">
        <v>28</v>
      </c>
      <c r="H485" s="1" t="s">
        <v>64</v>
      </c>
      <c r="I485" s="1" t="s">
        <v>51</v>
      </c>
      <c r="J485" s="1" t="s">
        <v>18</v>
      </c>
      <c r="K485" s="1">
        <v>4</v>
      </c>
      <c r="L485" s="1">
        <v>28</v>
      </c>
      <c r="M485" s="1">
        <v>112</v>
      </c>
      <c r="N485" s="1">
        <v>0</v>
      </c>
      <c r="O485" s="1">
        <v>112</v>
      </c>
      <c r="P485" s="1" t="s">
        <v>19</v>
      </c>
      <c r="Q485" s="1">
        <v>58</v>
      </c>
      <c r="R485" s="1" t="s">
        <v>31</v>
      </c>
      <c r="S485" s="1">
        <v>4</v>
      </c>
    </row>
    <row r="486" spans="1:19" x14ac:dyDescent="0.3">
      <c r="A486" s="1" t="s">
        <v>1015</v>
      </c>
      <c r="B486" s="2">
        <v>45809</v>
      </c>
      <c r="C486" s="1" t="str">
        <f t="shared" si="14"/>
        <v>Sun</v>
      </c>
      <c r="D486" s="1" t="str">
        <f t="shared" si="15"/>
        <v>Weekend</v>
      </c>
      <c r="E486" s="3">
        <v>0.4375</v>
      </c>
      <c r="F486" s="1" t="s">
        <v>1016</v>
      </c>
      <c r="G486" s="1" t="s">
        <v>54</v>
      </c>
      <c r="H486" s="1" t="s">
        <v>23</v>
      </c>
      <c r="I486" s="1" t="s">
        <v>17</v>
      </c>
      <c r="J486" s="1" t="s">
        <v>18</v>
      </c>
      <c r="K486" s="1">
        <v>4</v>
      </c>
      <c r="L486" s="1">
        <v>47</v>
      </c>
      <c r="M486" s="1">
        <v>188</v>
      </c>
      <c r="N486" s="1">
        <v>0</v>
      </c>
      <c r="O486" s="1">
        <v>188</v>
      </c>
      <c r="P486" s="1" t="s">
        <v>38</v>
      </c>
      <c r="Q486" s="1">
        <v>35</v>
      </c>
      <c r="R486" s="1" t="s">
        <v>20</v>
      </c>
      <c r="S486" s="1">
        <v>4</v>
      </c>
    </row>
    <row r="487" spans="1:19" x14ac:dyDescent="0.3">
      <c r="A487" s="1" t="s">
        <v>1017</v>
      </c>
      <c r="B487" s="2">
        <v>45778</v>
      </c>
      <c r="C487" s="1" t="str">
        <f t="shared" si="14"/>
        <v>Thu</v>
      </c>
      <c r="D487" s="1" t="str">
        <f t="shared" si="15"/>
        <v>Weekday</v>
      </c>
      <c r="E487" s="3">
        <v>0.4375</v>
      </c>
      <c r="F487" s="1" t="s">
        <v>1018</v>
      </c>
      <c r="G487" s="1" t="s">
        <v>28</v>
      </c>
      <c r="H487" s="1" t="s">
        <v>55</v>
      </c>
      <c r="I487" s="1" t="s">
        <v>30</v>
      </c>
      <c r="J487" s="1" t="s">
        <v>18</v>
      </c>
      <c r="K487" s="1">
        <v>5</v>
      </c>
      <c r="L487" s="1">
        <v>104</v>
      </c>
      <c r="M487" s="1">
        <v>520</v>
      </c>
      <c r="N487" s="1">
        <v>0</v>
      </c>
      <c r="O487" s="1">
        <v>520</v>
      </c>
      <c r="P487" s="1" t="s">
        <v>1048</v>
      </c>
      <c r="Q487" s="1">
        <v>56</v>
      </c>
      <c r="R487" s="1" t="s">
        <v>31</v>
      </c>
      <c r="S487" s="1">
        <v>5</v>
      </c>
    </row>
    <row r="488" spans="1:19" x14ac:dyDescent="0.3">
      <c r="A488" s="1" t="s">
        <v>1019</v>
      </c>
      <c r="B488" s="2">
        <v>45689</v>
      </c>
      <c r="C488" s="1" t="str">
        <f t="shared" si="14"/>
        <v>Sat</v>
      </c>
      <c r="D488" s="1" t="str">
        <f t="shared" si="15"/>
        <v>Weekend</v>
      </c>
      <c r="E488" s="3">
        <v>0.78125</v>
      </c>
      <c r="F488" s="1" t="s">
        <v>1020</v>
      </c>
      <c r="G488" s="1" t="s">
        <v>28</v>
      </c>
      <c r="H488" s="1" t="s">
        <v>35</v>
      </c>
      <c r="I488" s="1" t="s">
        <v>17</v>
      </c>
      <c r="J488" s="1" t="s">
        <v>18</v>
      </c>
      <c r="K488" s="1">
        <v>5</v>
      </c>
      <c r="L488" s="1">
        <v>85</v>
      </c>
      <c r="M488" s="1">
        <v>425</v>
      </c>
      <c r="N488" s="1">
        <v>10</v>
      </c>
      <c r="O488" s="1">
        <v>415</v>
      </c>
      <c r="P488" s="1" t="s">
        <v>1048</v>
      </c>
      <c r="Q488" s="1">
        <v>14</v>
      </c>
      <c r="R488" s="1" t="s">
        <v>20</v>
      </c>
      <c r="S488" s="1">
        <v>2</v>
      </c>
    </row>
    <row r="489" spans="1:19" x14ac:dyDescent="0.3">
      <c r="A489" s="1" t="s">
        <v>1021</v>
      </c>
      <c r="B489" s="2">
        <v>45962</v>
      </c>
      <c r="C489" s="1" t="str">
        <f t="shared" si="14"/>
        <v>Sat</v>
      </c>
      <c r="D489" s="1" t="str">
        <f t="shared" si="15"/>
        <v>Weekend</v>
      </c>
      <c r="E489" s="3">
        <v>0.4375</v>
      </c>
      <c r="F489" s="1" t="s">
        <v>1022</v>
      </c>
      <c r="G489" s="1" t="s">
        <v>1047</v>
      </c>
      <c r="H489" s="1" t="s">
        <v>41</v>
      </c>
      <c r="I489" s="1" t="s">
        <v>87</v>
      </c>
      <c r="J489" s="1" t="s">
        <v>88</v>
      </c>
      <c r="K489" s="1">
        <v>4</v>
      </c>
      <c r="L489" s="1">
        <v>78</v>
      </c>
      <c r="M489" s="1">
        <v>312</v>
      </c>
      <c r="N489" s="1">
        <v>0</v>
      </c>
      <c r="O489" s="1">
        <v>312</v>
      </c>
      <c r="P489" s="1" t="s">
        <v>38</v>
      </c>
      <c r="Q489" s="1">
        <v>35</v>
      </c>
      <c r="R489" s="1" t="s">
        <v>20</v>
      </c>
      <c r="S489" s="1">
        <v>1</v>
      </c>
    </row>
    <row r="490" spans="1:19" x14ac:dyDescent="0.3">
      <c r="A490" s="1" t="s">
        <v>1023</v>
      </c>
      <c r="B490" s="2">
        <v>45748</v>
      </c>
      <c r="C490" s="1" t="str">
        <f t="shared" si="14"/>
        <v>Tue</v>
      </c>
      <c r="D490" s="1" t="str">
        <f t="shared" si="15"/>
        <v>Weekday</v>
      </c>
      <c r="E490" s="3">
        <v>0.4375</v>
      </c>
      <c r="F490" s="1" t="s">
        <v>1024</v>
      </c>
      <c r="G490" s="1" t="s">
        <v>48</v>
      </c>
      <c r="H490" s="1" t="s">
        <v>35</v>
      </c>
      <c r="I490" s="1" t="s">
        <v>30</v>
      </c>
      <c r="J490" s="1" t="s">
        <v>18</v>
      </c>
      <c r="K490" s="1">
        <v>6</v>
      </c>
      <c r="L490" s="1">
        <v>110</v>
      </c>
      <c r="M490" s="1">
        <v>660</v>
      </c>
      <c r="N490" s="1">
        <v>0</v>
      </c>
      <c r="O490" s="1">
        <v>660</v>
      </c>
      <c r="P490" s="1" t="s">
        <v>1048</v>
      </c>
      <c r="Q490" s="1">
        <v>44</v>
      </c>
      <c r="R490" s="1" t="s">
        <v>20</v>
      </c>
      <c r="S490" s="1">
        <v>2</v>
      </c>
    </row>
    <row r="491" spans="1:19" x14ac:dyDescent="0.3">
      <c r="A491" s="1" t="s">
        <v>1025</v>
      </c>
      <c r="B491" s="2">
        <v>45689</v>
      </c>
      <c r="C491" s="1" t="str">
        <f t="shared" si="14"/>
        <v>Sat</v>
      </c>
      <c r="D491" s="1" t="str">
        <f t="shared" si="15"/>
        <v>Weekend</v>
      </c>
      <c r="E491" s="3">
        <v>0.76041666666666663</v>
      </c>
      <c r="F491" s="1" t="s">
        <v>1026</v>
      </c>
      <c r="G491" s="1" t="s">
        <v>84</v>
      </c>
      <c r="H491" s="1" t="s">
        <v>41</v>
      </c>
      <c r="I491" s="1" t="s">
        <v>30</v>
      </c>
      <c r="J491" s="1" t="s">
        <v>18</v>
      </c>
      <c r="K491" s="1">
        <v>5</v>
      </c>
      <c r="L491" s="1">
        <v>15</v>
      </c>
      <c r="M491" s="1">
        <v>85</v>
      </c>
      <c r="N491" s="1">
        <v>5</v>
      </c>
      <c r="O491" s="1">
        <v>70</v>
      </c>
      <c r="P491" s="1" t="s">
        <v>38</v>
      </c>
      <c r="Q491" s="1">
        <v>18</v>
      </c>
      <c r="R491" s="1" t="s">
        <v>31</v>
      </c>
      <c r="S491" s="1">
        <v>2</v>
      </c>
    </row>
    <row r="492" spans="1:19" x14ac:dyDescent="0.3">
      <c r="A492" s="1" t="s">
        <v>1027</v>
      </c>
      <c r="B492" s="2">
        <v>45717</v>
      </c>
      <c r="C492" s="1" t="str">
        <f t="shared" si="14"/>
        <v>Sat</v>
      </c>
      <c r="D492" s="1" t="str">
        <f t="shared" si="15"/>
        <v>Weekend</v>
      </c>
      <c r="E492" s="3">
        <v>0.78125</v>
      </c>
      <c r="F492" s="1" t="s">
        <v>1028</v>
      </c>
      <c r="G492" s="1" t="s">
        <v>28</v>
      </c>
      <c r="H492" s="1" t="s">
        <v>29</v>
      </c>
      <c r="I492" s="1" t="s">
        <v>42</v>
      </c>
      <c r="J492" s="1" t="s">
        <v>25</v>
      </c>
      <c r="K492" s="1">
        <v>3</v>
      </c>
      <c r="L492" s="1">
        <v>85</v>
      </c>
      <c r="M492" s="1">
        <v>255</v>
      </c>
      <c r="N492" s="1">
        <v>0</v>
      </c>
      <c r="O492" s="1">
        <v>255</v>
      </c>
      <c r="P492" s="1" t="s">
        <v>38</v>
      </c>
      <c r="Q492" s="1">
        <v>12</v>
      </c>
      <c r="R492" s="1" t="s">
        <v>20</v>
      </c>
      <c r="S492" s="1">
        <v>5</v>
      </c>
    </row>
    <row r="493" spans="1:19" x14ac:dyDescent="0.3">
      <c r="A493" s="1" t="s">
        <v>1029</v>
      </c>
      <c r="B493" s="2">
        <v>45870</v>
      </c>
      <c r="C493" s="1" t="str">
        <f t="shared" si="14"/>
        <v>Fri</v>
      </c>
      <c r="D493" s="1" t="str">
        <f t="shared" si="15"/>
        <v>Weekday</v>
      </c>
      <c r="E493" s="3">
        <v>0.37847222222222221</v>
      </c>
      <c r="F493" s="1" t="s">
        <v>1030</v>
      </c>
      <c r="G493" s="1" t="s">
        <v>84</v>
      </c>
      <c r="H493" s="1" t="s">
        <v>73</v>
      </c>
      <c r="I493" s="1" t="s">
        <v>51</v>
      </c>
      <c r="J493" s="1" t="s">
        <v>18</v>
      </c>
      <c r="K493" s="1">
        <v>2</v>
      </c>
      <c r="L493" s="1">
        <v>20</v>
      </c>
      <c r="M493" s="1">
        <v>50</v>
      </c>
      <c r="N493" s="1">
        <v>0</v>
      </c>
      <c r="O493" s="1">
        <v>40</v>
      </c>
      <c r="P493" s="1" t="s">
        <v>38</v>
      </c>
      <c r="Q493" s="1">
        <v>43</v>
      </c>
      <c r="R493" s="1" t="s">
        <v>31</v>
      </c>
      <c r="S493" s="1">
        <v>5</v>
      </c>
    </row>
    <row r="494" spans="1:19" x14ac:dyDescent="0.3">
      <c r="A494" s="1" t="s">
        <v>1031</v>
      </c>
      <c r="B494" s="2">
        <v>45717</v>
      </c>
      <c r="C494" s="1" t="str">
        <f t="shared" si="14"/>
        <v>Sat</v>
      </c>
      <c r="D494" s="1" t="str">
        <f t="shared" si="15"/>
        <v>Weekend</v>
      </c>
      <c r="E494" s="3">
        <v>0.76041666666666663</v>
      </c>
      <c r="F494" s="1" t="s">
        <v>1032</v>
      </c>
      <c r="G494" s="1" t="s">
        <v>48</v>
      </c>
      <c r="H494" s="1" t="s">
        <v>64</v>
      </c>
      <c r="I494" s="1" t="s">
        <v>74</v>
      </c>
      <c r="J494" s="1" t="s">
        <v>75</v>
      </c>
      <c r="K494" s="1">
        <v>5</v>
      </c>
      <c r="L494" s="1">
        <v>43</v>
      </c>
      <c r="M494" s="1">
        <v>215</v>
      </c>
      <c r="N494" s="1">
        <v>5</v>
      </c>
      <c r="O494" s="1">
        <v>210</v>
      </c>
      <c r="P494" s="1" t="s">
        <v>1048</v>
      </c>
      <c r="Q494" s="1">
        <v>10</v>
      </c>
      <c r="R494" s="1" t="s">
        <v>20</v>
      </c>
      <c r="S494" s="1">
        <v>4</v>
      </c>
    </row>
    <row r="495" spans="1:19" x14ac:dyDescent="0.3">
      <c r="A495" s="1" t="s">
        <v>1033</v>
      </c>
      <c r="B495" s="2">
        <v>45778</v>
      </c>
      <c r="C495" s="1" t="str">
        <f t="shared" si="14"/>
        <v>Thu</v>
      </c>
      <c r="D495" s="1" t="str">
        <f t="shared" si="15"/>
        <v>Weekday</v>
      </c>
      <c r="E495" s="3">
        <v>0.78125</v>
      </c>
      <c r="F495" s="1" t="s">
        <v>1034</v>
      </c>
      <c r="G495" s="1" t="s">
        <v>34</v>
      </c>
      <c r="H495" s="1" t="s">
        <v>23</v>
      </c>
      <c r="I495" s="1" t="s">
        <v>36</v>
      </c>
      <c r="J495" s="1" t="s">
        <v>37</v>
      </c>
      <c r="K495" s="1">
        <v>4</v>
      </c>
      <c r="L495" s="1">
        <v>103</v>
      </c>
      <c r="M495" s="1">
        <v>422</v>
      </c>
      <c r="N495" s="1">
        <v>0</v>
      </c>
      <c r="O495" s="1">
        <v>412</v>
      </c>
      <c r="P495" s="1" t="s">
        <v>19</v>
      </c>
      <c r="Q495" s="1">
        <v>43</v>
      </c>
      <c r="R495" s="1" t="s">
        <v>20</v>
      </c>
      <c r="S495" s="1">
        <v>2</v>
      </c>
    </row>
    <row r="496" spans="1:19" x14ac:dyDescent="0.3">
      <c r="A496" s="1" t="s">
        <v>1035</v>
      </c>
      <c r="B496" s="2">
        <v>45931</v>
      </c>
      <c r="C496" s="1" t="str">
        <f t="shared" si="14"/>
        <v>Wed</v>
      </c>
      <c r="D496" s="1" t="str">
        <f t="shared" si="15"/>
        <v>Weekday</v>
      </c>
      <c r="E496" s="3">
        <v>0.78125</v>
      </c>
      <c r="F496" s="1" t="s">
        <v>1036</v>
      </c>
      <c r="G496" s="1" t="s">
        <v>1047</v>
      </c>
      <c r="H496" s="1" t="s">
        <v>23</v>
      </c>
      <c r="I496" s="1" t="s">
        <v>42</v>
      </c>
      <c r="J496" s="1" t="s">
        <v>25</v>
      </c>
      <c r="K496" s="1">
        <v>5</v>
      </c>
      <c r="L496" s="1">
        <v>53</v>
      </c>
      <c r="M496" s="1">
        <v>265</v>
      </c>
      <c r="N496" s="1">
        <v>5</v>
      </c>
      <c r="O496" s="1">
        <v>260</v>
      </c>
      <c r="P496" s="1" t="s">
        <v>1049</v>
      </c>
      <c r="Q496" s="1">
        <v>17</v>
      </c>
      <c r="R496" s="1" t="s">
        <v>31</v>
      </c>
      <c r="S496" s="1">
        <v>3</v>
      </c>
    </row>
    <row r="497" spans="1:19" x14ac:dyDescent="0.3">
      <c r="A497" s="1" t="s">
        <v>1037</v>
      </c>
      <c r="B497" s="2">
        <v>45748</v>
      </c>
      <c r="C497" s="1" t="str">
        <f t="shared" si="14"/>
        <v>Tue</v>
      </c>
      <c r="D497" s="1" t="str">
        <f t="shared" si="15"/>
        <v>Weekday</v>
      </c>
      <c r="E497" s="3">
        <v>0.76041666666666663</v>
      </c>
      <c r="F497" s="1" t="s">
        <v>1038</v>
      </c>
      <c r="G497" s="1" t="s">
        <v>34</v>
      </c>
      <c r="H497" s="1" t="s">
        <v>35</v>
      </c>
      <c r="I497" s="1" t="s">
        <v>51</v>
      </c>
      <c r="J497" s="1" t="s">
        <v>18</v>
      </c>
      <c r="K497" s="1">
        <v>1</v>
      </c>
      <c r="L497" s="1">
        <v>115</v>
      </c>
      <c r="M497" s="1">
        <v>115</v>
      </c>
      <c r="N497" s="1">
        <v>5</v>
      </c>
      <c r="O497" s="1">
        <v>110</v>
      </c>
      <c r="P497" s="1" t="s">
        <v>1048</v>
      </c>
      <c r="Q497" s="1">
        <v>21</v>
      </c>
      <c r="R497" s="1" t="s">
        <v>31</v>
      </c>
      <c r="S497" s="1">
        <v>4</v>
      </c>
    </row>
    <row r="498" spans="1:19" x14ac:dyDescent="0.3">
      <c r="A498" s="1" t="s">
        <v>1039</v>
      </c>
      <c r="B498" s="2">
        <v>45778</v>
      </c>
      <c r="C498" s="1" t="str">
        <f t="shared" si="14"/>
        <v>Thu</v>
      </c>
      <c r="D498" s="1" t="str">
        <f t="shared" si="15"/>
        <v>Weekday</v>
      </c>
      <c r="E498" s="3">
        <v>0.37847222222222221</v>
      </c>
      <c r="F498" s="1" t="s">
        <v>1040</v>
      </c>
      <c r="G498" s="1" t="s">
        <v>48</v>
      </c>
      <c r="H498" s="1" t="s">
        <v>16</v>
      </c>
      <c r="I498" s="1" t="s">
        <v>30</v>
      </c>
      <c r="J498" s="1" t="s">
        <v>18</v>
      </c>
      <c r="K498" s="1">
        <v>3</v>
      </c>
      <c r="L498" s="1">
        <v>73</v>
      </c>
      <c r="M498" s="1">
        <v>219</v>
      </c>
      <c r="N498" s="1">
        <v>5</v>
      </c>
      <c r="O498" s="1">
        <v>214</v>
      </c>
      <c r="P498" s="1" t="s">
        <v>1048</v>
      </c>
      <c r="Q498" s="1">
        <v>26</v>
      </c>
      <c r="R498" s="1" t="s">
        <v>20</v>
      </c>
      <c r="S498" s="1"/>
    </row>
    <row r="499" spans="1:19" x14ac:dyDescent="0.3">
      <c r="A499" s="1" t="s">
        <v>1041</v>
      </c>
      <c r="B499" s="2">
        <v>45778</v>
      </c>
      <c r="C499" s="1" t="str">
        <f t="shared" si="14"/>
        <v>Thu</v>
      </c>
      <c r="D499" s="1" t="str">
        <f t="shared" si="15"/>
        <v>Weekday</v>
      </c>
      <c r="E499" s="3">
        <v>0.37847222222222221</v>
      </c>
      <c r="F499" s="1" t="s">
        <v>1042</v>
      </c>
      <c r="G499" s="1" t="s">
        <v>45</v>
      </c>
      <c r="H499" s="1" t="s">
        <v>73</v>
      </c>
      <c r="I499" s="1" t="s">
        <v>17</v>
      </c>
      <c r="J499" s="1" t="s">
        <v>18</v>
      </c>
      <c r="K499" s="1">
        <v>6</v>
      </c>
      <c r="L499" s="1">
        <v>53</v>
      </c>
      <c r="M499" s="1">
        <v>318</v>
      </c>
      <c r="N499" s="1">
        <v>0</v>
      </c>
      <c r="O499" s="1">
        <v>318</v>
      </c>
      <c r="P499" s="1" t="s">
        <v>38</v>
      </c>
      <c r="Q499" s="1">
        <v>38</v>
      </c>
      <c r="R499" s="1" t="s">
        <v>20</v>
      </c>
      <c r="S499" s="1">
        <v>2</v>
      </c>
    </row>
    <row r="500" spans="1:19" x14ac:dyDescent="0.3">
      <c r="A500" s="1" t="s">
        <v>1043</v>
      </c>
      <c r="B500" s="2">
        <v>45668</v>
      </c>
      <c r="C500" s="1" t="str">
        <f t="shared" si="14"/>
        <v>Sat</v>
      </c>
      <c r="D500" s="1" t="str">
        <f t="shared" si="15"/>
        <v>Weekend</v>
      </c>
      <c r="E500" s="3">
        <v>0.4375</v>
      </c>
      <c r="F500" s="1" t="s">
        <v>1044</v>
      </c>
      <c r="G500" s="1" t="s">
        <v>28</v>
      </c>
      <c r="H500" s="1" t="s">
        <v>55</v>
      </c>
      <c r="I500" s="1" t="s">
        <v>74</v>
      </c>
      <c r="J500" s="1" t="s">
        <v>75</v>
      </c>
      <c r="K500" s="1">
        <v>1</v>
      </c>
      <c r="L500" s="1">
        <v>98</v>
      </c>
      <c r="M500" s="1">
        <v>98</v>
      </c>
      <c r="N500" s="1">
        <v>0</v>
      </c>
      <c r="O500" s="1">
        <v>98</v>
      </c>
      <c r="P500" s="1" t="s">
        <v>1048</v>
      </c>
      <c r="Q500" s="1">
        <v>42</v>
      </c>
      <c r="R500" s="1" t="s">
        <v>31</v>
      </c>
      <c r="S500" s="1">
        <v>5</v>
      </c>
    </row>
    <row r="501" spans="1:19" x14ac:dyDescent="0.3">
      <c r="A501" s="1" t="s">
        <v>1045</v>
      </c>
      <c r="B501" s="2">
        <v>45717</v>
      </c>
      <c r="C501" s="1" t="str">
        <f t="shared" si="14"/>
        <v>Sat</v>
      </c>
      <c r="D501" s="1" t="str">
        <f t="shared" si="15"/>
        <v>Weekend</v>
      </c>
      <c r="E501" s="3">
        <v>0.78125</v>
      </c>
      <c r="F501" s="1" t="s">
        <v>1046</v>
      </c>
      <c r="G501" s="1" t="s">
        <v>28</v>
      </c>
      <c r="H501" s="1" t="s">
        <v>73</v>
      </c>
      <c r="I501" s="1" t="s">
        <v>74</v>
      </c>
      <c r="J501" s="1" t="s">
        <v>75</v>
      </c>
      <c r="K501" s="1">
        <v>3</v>
      </c>
      <c r="L501" s="1">
        <v>101</v>
      </c>
      <c r="M501" s="1">
        <v>303</v>
      </c>
      <c r="N501" s="1">
        <v>0</v>
      </c>
      <c r="O501" s="1">
        <v>303</v>
      </c>
      <c r="P501" s="1" t="s">
        <v>1048</v>
      </c>
      <c r="Q501" s="1">
        <v>18</v>
      </c>
      <c r="R501" s="1" t="s">
        <v>31</v>
      </c>
      <c r="S501" s="1">
        <v>5</v>
      </c>
    </row>
    <row r="502" spans="1:19" x14ac:dyDescent="0.3">
      <c r="O502">
        <f>SUM(O1:O501)</f>
        <v>113082</v>
      </c>
    </row>
  </sheetData>
  <autoFilter ref="A1:S502" xr:uid="{00000000-0001-0000-0000-000000000000}"/>
  <pageMargins left="0.75" right="0.75" top="1" bottom="1" header="0.5" footer="0.5"/>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02E76-11CF-4898-944A-308875E7F8E7}">
  <dimension ref="A1:B9"/>
  <sheetViews>
    <sheetView workbookViewId="0">
      <selection activeCell="K14" sqref="K14"/>
    </sheetView>
  </sheetViews>
  <sheetFormatPr defaultRowHeight="14.4" x14ac:dyDescent="0.3"/>
  <cols>
    <col min="1" max="1" width="12.5546875" bestFit="1" customWidth="1"/>
    <col min="2" max="2" width="22.21875" bestFit="1" customWidth="1"/>
    <col min="3" max="3" width="27.6640625" bestFit="1" customWidth="1"/>
  </cols>
  <sheetData>
    <row r="1" spans="1:2" x14ac:dyDescent="0.3">
      <c r="A1" s="4" t="s">
        <v>1054</v>
      </c>
      <c r="B1" t="s">
        <v>1066</v>
      </c>
    </row>
    <row r="2" spans="1:2" x14ac:dyDescent="0.3">
      <c r="A2" s="5" t="s">
        <v>35</v>
      </c>
      <c r="B2" s="11">
        <v>154</v>
      </c>
    </row>
    <row r="3" spans="1:2" x14ac:dyDescent="0.3">
      <c r="A3" s="5" t="s">
        <v>23</v>
      </c>
      <c r="B3" s="11">
        <v>168</v>
      </c>
    </row>
    <row r="4" spans="1:2" x14ac:dyDescent="0.3">
      <c r="A4" s="5" t="s">
        <v>16</v>
      </c>
      <c r="B4" s="11">
        <v>152</v>
      </c>
    </row>
    <row r="5" spans="1:2" x14ac:dyDescent="0.3">
      <c r="A5" s="5" t="s">
        <v>41</v>
      </c>
      <c r="B5" s="11">
        <v>159</v>
      </c>
    </row>
    <row r="6" spans="1:2" x14ac:dyDescent="0.3">
      <c r="A6" s="5" t="s">
        <v>64</v>
      </c>
      <c r="B6" s="11">
        <v>152</v>
      </c>
    </row>
    <row r="7" spans="1:2" x14ac:dyDescent="0.3">
      <c r="A7" s="5" t="s">
        <v>73</v>
      </c>
      <c r="B7" s="11">
        <v>154</v>
      </c>
    </row>
    <row r="8" spans="1:2" x14ac:dyDescent="0.3">
      <c r="A8" s="5" t="s">
        <v>29</v>
      </c>
      <c r="B8" s="11">
        <v>149</v>
      </c>
    </row>
    <row r="9" spans="1:2" x14ac:dyDescent="0.3">
      <c r="A9" s="5" t="s">
        <v>55</v>
      </c>
      <c r="B9" s="11">
        <v>182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4BB3A-50D7-4D1C-828F-5261E447FC60}">
  <dimension ref="A1:B7"/>
  <sheetViews>
    <sheetView workbookViewId="0">
      <selection activeCell="M25" sqref="M25"/>
    </sheetView>
  </sheetViews>
  <sheetFormatPr defaultRowHeight="14.4" x14ac:dyDescent="0.3"/>
  <cols>
    <col min="1" max="1" width="12.5546875" bestFit="1" customWidth="1"/>
    <col min="2" max="2" width="16.44140625" bestFit="1" customWidth="1"/>
  </cols>
  <sheetData>
    <row r="1" spans="1:2" x14ac:dyDescent="0.3">
      <c r="A1" s="4" t="s">
        <v>1054</v>
      </c>
      <c r="B1" t="s">
        <v>1067</v>
      </c>
    </row>
    <row r="2" spans="1:2" x14ac:dyDescent="0.3">
      <c r="A2" s="5" t="s">
        <v>37</v>
      </c>
      <c r="B2" s="11">
        <v>62</v>
      </c>
    </row>
    <row r="3" spans="1:2" x14ac:dyDescent="0.3">
      <c r="A3" s="5" t="s">
        <v>18</v>
      </c>
      <c r="B3" s="11">
        <v>174</v>
      </c>
    </row>
    <row r="4" spans="1:2" x14ac:dyDescent="0.3">
      <c r="A4" s="5" t="s">
        <v>25</v>
      </c>
      <c r="B4" s="11">
        <v>108</v>
      </c>
    </row>
    <row r="5" spans="1:2" x14ac:dyDescent="0.3">
      <c r="A5" s="5" t="s">
        <v>88</v>
      </c>
      <c r="B5" s="11">
        <v>50</v>
      </c>
    </row>
    <row r="6" spans="1:2" x14ac:dyDescent="0.3">
      <c r="A6" s="5" t="s">
        <v>100</v>
      </c>
      <c r="B6" s="11">
        <v>54</v>
      </c>
    </row>
    <row r="7" spans="1:2" x14ac:dyDescent="0.3">
      <c r="A7" s="5" t="s">
        <v>75</v>
      </c>
      <c r="B7" s="11">
        <v>52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B98C3-A2D6-4A4B-86AC-0137F45CB71A}">
  <dimension ref="A1:B9"/>
  <sheetViews>
    <sheetView zoomScale="93" workbookViewId="0">
      <selection activeCell="M22" sqref="M22"/>
    </sheetView>
  </sheetViews>
  <sheetFormatPr defaultRowHeight="14.4" x14ac:dyDescent="0.3"/>
  <cols>
    <col min="1" max="1" width="13" bestFit="1" customWidth="1"/>
    <col min="2" max="2" width="27.33203125" bestFit="1" customWidth="1"/>
  </cols>
  <sheetData>
    <row r="1" spans="1:2" x14ac:dyDescent="0.3">
      <c r="A1" s="4" t="s">
        <v>1054</v>
      </c>
      <c r="B1" t="s">
        <v>1065</v>
      </c>
    </row>
    <row r="2" spans="1:2" x14ac:dyDescent="0.3">
      <c r="A2" s="5" t="s">
        <v>1064</v>
      </c>
      <c r="B2" s="11">
        <v>11736</v>
      </c>
    </row>
    <row r="3" spans="1:2" x14ac:dyDescent="0.3">
      <c r="A3" s="5" t="s">
        <v>1059</v>
      </c>
      <c r="B3" s="11">
        <v>12389</v>
      </c>
    </row>
    <row r="4" spans="1:2" x14ac:dyDescent="0.3">
      <c r="A4" s="5" t="s">
        <v>1063</v>
      </c>
      <c r="B4" s="11">
        <v>16204</v>
      </c>
    </row>
    <row r="5" spans="1:2" x14ac:dyDescent="0.3">
      <c r="A5" s="5" t="s">
        <v>1062</v>
      </c>
      <c r="B5" s="11">
        <v>16763</v>
      </c>
    </row>
    <row r="6" spans="1:2" x14ac:dyDescent="0.3">
      <c r="A6" s="5" t="s">
        <v>1060</v>
      </c>
      <c r="B6" s="11">
        <v>12695</v>
      </c>
    </row>
    <row r="7" spans="1:2" x14ac:dyDescent="0.3">
      <c r="A7" s="5" t="s">
        <v>1061</v>
      </c>
      <c r="B7" s="11">
        <v>12469</v>
      </c>
    </row>
    <row r="8" spans="1:2" x14ac:dyDescent="0.3">
      <c r="A8" s="5" t="s">
        <v>1058</v>
      </c>
      <c r="B8" s="11">
        <v>30826</v>
      </c>
    </row>
    <row r="9" spans="1:2" x14ac:dyDescent="0.3">
      <c r="A9" s="5" t="s">
        <v>1055</v>
      </c>
      <c r="B9" s="11">
        <v>113082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2B389-013B-444A-99E5-40C624BD46D9}">
  <dimension ref="A1:C9"/>
  <sheetViews>
    <sheetView workbookViewId="0">
      <selection activeCell="P15" sqref="P15"/>
    </sheetView>
  </sheetViews>
  <sheetFormatPr defaultRowHeight="14.4" x14ac:dyDescent="0.3"/>
  <cols>
    <col min="1" max="1" width="12.5546875" bestFit="1" customWidth="1"/>
    <col min="2" max="2" width="16.44140625" bestFit="1" customWidth="1"/>
    <col min="3" max="3" width="14.88671875" bestFit="1" customWidth="1"/>
  </cols>
  <sheetData>
    <row r="1" spans="1:3" x14ac:dyDescent="0.3">
      <c r="A1" s="4" t="s">
        <v>1054</v>
      </c>
      <c r="B1" t="s">
        <v>1056</v>
      </c>
      <c r="C1" t="s">
        <v>1057</v>
      </c>
    </row>
    <row r="2" spans="1:3" x14ac:dyDescent="0.3">
      <c r="A2" s="5" t="s">
        <v>28</v>
      </c>
      <c r="B2" s="11">
        <v>124</v>
      </c>
      <c r="C2" s="11">
        <v>462</v>
      </c>
    </row>
    <row r="3" spans="1:3" x14ac:dyDescent="0.3">
      <c r="A3" s="5" t="s">
        <v>54</v>
      </c>
      <c r="B3" s="11">
        <v>53</v>
      </c>
      <c r="C3" s="11">
        <v>173</v>
      </c>
    </row>
    <row r="4" spans="1:3" x14ac:dyDescent="0.3">
      <c r="A4" s="5" t="s">
        <v>45</v>
      </c>
      <c r="B4" s="11">
        <v>52</v>
      </c>
      <c r="C4" s="11">
        <v>183</v>
      </c>
    </row>
    <row r="5" spans="1:3" x14ac:dyDescent="0.3">
      <c r="A5" s="5" t="s">
        <v>48</v>
      </c>
      <c r="B5" s="11">
        <v>100</v>
      </c>
      <c r="C5" s="11">
        <v>365</v>
      </c>
    </row>
    <row r="6" spans="1:3" x14ac:dyDescent="0.3">
      <c r="A6" s="5" t="s">
        <v>1047</v>
      </c>
      <c r="B6" s="11">
        <v>49</v>
      </c>
      <c r="C6" s="11">
        <v>176</v>
      </c>
    </row>
    <row r="7" spans="1:3" x14ac:dyDescent="0.3">
      <c r="A7" s="5" t="s">
        <v>84</v>
      </c>
      <c r="B7" s="11">
        <v>59</v>
      </c>
      <c r="C7" s="11">
        <v>214</v>
      </c>
    </row>
    <row r="8" spans="1:3" x14ac:dyDescent="0.3">
      <c r="A8" s="5" t="s">
        <v>34</v>
      </c>
      <c r="B8" s="11">
        <v>63</v>
      </c>
      <c r="C8" s="11">
        <v>222</v>
      </c>
    </row>
    <row r="9" spans="1:3" x14ac:dyDescent="0.3">
      <c r="A9" s="5" t="s">
        <v>1055</v>
      </c>
      <c r="B9" s="11">
        <v>500</v>
      </c>
      <c r="C9" s="11">
        <v>1795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6E0B9-5D18-4E9A-ABB6-756262DCE4E8}">
  <dimension ref="A3:B12"/>
  <sheetViews>
    <sheetView topLeftCell="A3" workbookViewId="0">
      <selection activeCell="M25" sqref="M25"/>
    </sheetView>
  </sheetViews>
  <sheetFormatPr defaultRowHeight="14.4" x14ac:dyDescent="0.3"/>
  <cols>
    <col min="1" max="1" width="12.5546875" bestFit="1" customWidth="1"/>
    <col min="2" max="2" width="27.33203125" bestFit="1" customWidth="1"/>
    <col min="3" max="3" width="10.77734375" bestFit="1" customWidth="1"/>
  </cols>
  <sheetData>
    <row r="3" spans="1:2" x14ac:dyDescent="0.3">
      <c r="A3" s="4" t="s">
        <v>1054</v>
      </c>
      <c r="B3" t="s">
        <v>1065</v>
      </c>
    </row>
    <row r="4" spans="1:2" x14ac:dyDescent="0.3">
      <c r="A4" s="5" t="s">
        <v>42</v>
      </c>
      <c r="B4" s="11">
        <v>11441</v>
      </c>
    </row>
    <row r="5" spans="1:2" x14ac:dyDescent="0.3">
      <c r="A5" s="5" t="s">
        <v>24</v>
      </c>
      <c r="B5" s="11">
        <v>12882</v>
      </c>
    </row>
    <row r="6" spans="1:2" x14ac:dyDescent="0.3">
      <c r="A6" s="5" t="s">
        <v>36</v>
      </c>
      <c r="B6" s="11">
        <v>14540</v>
      </c>
    </row>
    <row r="7" spans="1:2" x14ac:dyDescent="0.3">
      <c r="A7" s="5" t="s">
        <v>99</v>
      </c>
      <c r="B7" s="11">
        <v>10779</v>
      </c>
    </row>
    <row r="8" spans="1:2" x14ac:dyDescent="0.3">
      <c r="A8" s="5" t="s">
        <v>17</v>
      </c>
      <c r="B8" s="11">
        <v>14121</v>
      </c>
    </row>
    <row r="9" spans="1:2" x14ac:dyDescent="0.3">
      <c r="A9" s="5" t="s">
        <v>30</v>
      </c>
      <c r="B9" s="11">
        <v>16952</v>
      </c>
    </row>
    <row r="10" spans="1:2" x14ac:dyDescent="0.3">
      <c r="A10" s="5" t="s">
        <v>51</v>
      </c>
      <c r="B10" s="11">
        <v>11376</v>
      </c>
    </row>
    <row r="11" spans="1:2" x14ac:dyDescent="0.3">
      <c r="A11" s="5" t="s">
        <v>74</v>
      </c>
      <c r="B11" s="11">
        <v>11728</v>
      </c>
    </row>
    <row r="12" spans="1:2" x14ac:dyDescent="0.3">
      <c r="A12" s="5" t="s">
        <v>87</v>
      </c>
      <c r="B12" s="11">
        <v>9263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98672-EB27-4CF6-B4EF-78714476CBAD}">
  <dimension ref="A1:W65"/>
  <sheetViews>
    <sheetView showGridLines="0" tabSelected="1" topLeftCell="A33" zoomScale="85" zoomScaleNormal="85" workbookViewId="0">
      <selection activeCell="K65" sqref="K65"/>
    </sheetView>
  </sheetViews>
  <sheetFormatPr defaultRowHeight="14.4" x14ac:dyDescent="0.3"/>
  <sheetData>
    <row r="1" spans="1:23" x14ac:dyDescent="0.3">
      <c r="A1" s="9" t="s">
        <v>1068</v>
      </c>
      <c r="B1" s="10"/>
      <c r="C1" s="10"/>
      <c r="D1" s="10"/>
      <c r="E1" s="10"/>
      <c r="F1" s="10"/>
      <c r="G1" s="10"/>
      <c r="H1" s="10"/>
      <c r="I1" s="10"/>
      <c r="J1" s="10"/>
      <c r="K1" s="10"/>
      <c r="L1" s="10"/>
      <c r="M1" s="10"/>
      <c r="N1" s="10"/>
      <c r="O1" s="10"/>
      <c r="P1" s="10"/>
      <c r="Q1" s="10"/>
      <c r="R1" s="10"/>
      <c r="S1" s="10"/>
      <c r="T1" s="10"/>
      <c r="U1" s="10"/>
      <c r="V1" s="10"/>
      <c r="W1" s="10"/>
    </row>
    <row r="2" spans="1:23" x14ac:dyDescent="0.3">
      <c r="A2" s="10"/>
      <c r="B2" s="10"/>
      <c r="C2" s="10"/>
      <c r="D2" s="10"/>
      <c r="E2" s="10"/>
      <c r="F2" s="10"/>
      <c r="G2" s="10"/>
      <c r="H2" s="10"/>
      <c r="I2" s="10"/>
      <c r="J2" s="10"/>
      <c r="K2" s="10"/>
      <c r="L2" s="10"/>
      <c r="M2" s="10"/>
      <c r="N2" s="10"/>
      <c r="O2" s="10"/>
      <c r="P2" s="10"/>
      <c r="Q2" s="10"/>
      <c r="R2" s="10"/>
      <c r="S2" s="10"/>
      <c r="T2" s="10"/>
      <c r="U2" s="10"/>
      <c r="V2" s="10"/>
      <c r="W2" s="10"/>
    </row>
    <row r="3" spans="1:23" x14ac:dyDescent="0.3">
      <c r="A3" s="10"/>
      <c r="B3" s="10"/>
      <c r="C3" s="10"/>
      <c r="D3" s="10"/>
      <c r="E3" s="10"/>
      <c r="F3" s="10"/>
      <c r="G3" s="10"/>
      <c r="H3" s="10"/>
      <c r="I3" s="10"/>
      <c r="J3" s="10"/>
      <c r="K3" s="10"/>
      <c r="L3" s="10"/>
      <c r="M3" s="10"/>
      <c r="N3" s="10"/>
      <c r="O3" s="10"/>
      <c r="P3" s="10"/>
      <c r="Q3" s="10"/>
      <c r="R3" s="10"/>
      <c r="S3" s="10"/>
      <c r="T3" s="10"/>
      <c r="U3" s="10"/>
      <c r="V3" s="10"/>
      <c r="W3" s="10"/>
    </row>
    <row r="4" spans="1:23" x14ac:dyDescent="0.3">
      <c r="A4" s="10"/>
      <c r="B4" s="10"/>
      <c r="C4" s="10"/>
      <c r="D4" s="10"/>
      <c r="E4" s="10"/>
      <c r="F4" s="10"/>
      <c r="G4" s="10"/>
      <c r="H4" s="10"/>
      <c r="I4" s="10"/>
      <c r="J4" s="10"/>
      <c r="K4" s="10"/>
      <c r="L4" s="10"/>
      <c r="M4" s="10"/>
      <c r="N4" s="10"/>
      <c r="O4" s="10"/>
      <c r="P4" s="10"/>
      <c r="Q4" s="10"/>
      <c r="R4" s="10"/>
      <c r="S4" s="10"/>
      <c r="T4" s="10"/>
      <c r="U4" s="10"/>
      <c r="V4" s="10"/>
      <c r="W4" s="10"/>
    </row>
    <row r="5" spans="1:23" x14ac:dyDescent="0.3">
      <c r="A5" s="7"/>
      <c r="B5" s="7"/>
      <c r="C5" s="7"/>
      <c r="D5" s="7"/>
      <c r="E5" s="7"/>
      <c r="F5" s="7"/>
      <c r="G5" s="7"/>
      <c r="H5" s="7"/>
      <c r="I5" s="7"/>
      <c r="J5" s="7"/>
      <c r="K5" s="7"/>
      <c r="L5" s="7"/>
      <c r="M5" s="7"/>
      <c r="N5" s="7"/>
      <c r="O5" s="7"/>
      <c r="P5" s="7"/>
      <c r="Q5" s="7"/>
      <c r="R5" s="7"/>
      <c r="S5" s="7"/>
      <c r="T5" s="7"/>
      <c r="U5" s="7"/>
      <c r="V5" s="7"/>
      <c r="W5" s="7"/>
    </row>
    <row r="6" spans="1:23" x14ac:dyDescent="0.3">
      <c r="A6" s="7"/>
      <c r="B6" s="7"/>
      <c r="C6" s="7"/>
      <c r="D6" s="7"/>
      <c r="E6" s="7"/>
      <c r="F6" s="7"/>
      <c r="G6" s="7"/>
      <c r="H6" s="7"/>
      <c r="I6" s="7"/>
      <c r="J6" s="7"/>
      <c r="K6" s="7"/>
      <c r="L6" s="7"/>
      <c r="M6" s="7"/>
      <c r="N6" s="7"/>
      <c r="O6" s="7"/>
      <c r="P6" s="7"/>
      <c r="Q6" s="7"/>
      <c r="R6" s="7"/>
      <c r="S6" s="7"/>
      <c r="T6" s="7"/>
      <c r="U6" s="7"/>
      <c r="V6" s="7"/>
      <c r="W6" s="7"/>
    </row>
    <row r="7" spans="1:23" x14ac:dyDescent="0.3">
      <c r="A7" s="7"/>
      <c r="B7" s="7"/>
      <c r="C7" s="7"/>
      <c r="D7" s="7"/>
      <c r="E7" s="7"/>
      <c r="F7" s="7"/>
      <c r="G7" s="7"/>
      <c r="H7" s="7"/>
      <c r="I7" s="7"/>
      <c r="J7" s="7"/>
      <c r="K7" s="7"/>
      <c r="L7" s="7"/>
      <c r="M7" s="7"/>
      <c r="N7" s="7"/>
      <c r="O7" s="7"/>
      <c r="P7" s="7"/>
      <c r="Q7" s="7"/>
      <c r="R7" s="7"/>
      <c r="S7" s="7"/>
      <c r="T7" s="7"/>
      <c r="U7" s="7"/>
      <c r="V7" s="7"/>
      <c r="W7" s="7"/>
    </row>
    <row r="8" spans="1:23" x14ac:dyDescent="0.3">
      <c r="A8" s="7"/>
      <c r="B8" s="7"/>
      <c r="C8" s="7"/>
      <c r="D8" s="7"/>
      <c r="E8" s="7"/>
      <c r="F8" s="7"/>
      <c r="G8" s="7"/>
      <c r="H8" s="7"/>
      <c r="I8" s="7"/>
      <c r="J8" s="7"/>
      <c r="K8" s="7"/>
      <c r="L8" s="7"/>
      <c r="M8" s="7"/>
      <c r="N8" s="7"/>
      <c r="O8" s="7"/>
      <c r="P8" s="7"/>
      <c r="Q8" s="7"/>
      <c r="R8" s="7"/>
      <c r="S8" s="7"/>
      <c r="T8" s="7"/>
      <c r="U8" s="7"/>
      <c r="V8" s="7"/>
      <c r="W8" s="7"/>
    </row>
    <row r="9" spans="1:23" x14ac:dyDescent="0.3">
      <c r="A9" s="7"/>
      <c r="B9" s="7"/>
      <c r="C9" s="7"/>
      <c r="D9" s="7"/>
      <c r="E9" s="7"/>
      <c r="F9" s="7"/>
      <c r="G9" s="7"/>
      <c r="H9" s="7"/>
      <c r="I9" s="7"/>
      <c r="J9" s="7"/>
      <c r="K9" s="7"/>
      <c r="L9" s="7"/>
      <c r="M9" s="7"/>
      <c r="N9" s="7"/>
      <c r="O9" s="7"/>
      <c r="P9" s="7"/>
      <c r="Q9" s="7"/>
      <c r="R9" s="7"/>
      <c r="S9" s="7"/>
      <c r="T9" s="7"/>
      <c r="U9" s="7"/>
      <c r="V9" s="7"/>
      <c r="W9" s="7"/>
    </row>
    <row r="10" spans="1:23" x14ac:dyDescent="0.3">
      <c r="A10" s="7"/>
      <c r="B10" s="7"/>
      <c r="C10" s="7"/>
      <c r="D10" s="7"/>
      <c r="E10" s="7"/>
      <c r="F10" s="7"/>
      <c r="G10" s="7"/>
      <c r="H10" s="7"/>
      <c r="I10" s="7"/>
      <c r="J10" s="7"/>
      <c r="K10" s="7"/>
      <c r="L10" s="7"/>
      <c r="M10" s="7"/>
      <c r="N10" s="7"/>
      <c r="O10" s="7"/>
      <c r="P10" s="7"/>
      <c r="Q10" s="7"/>
      <c r="R10" s="7"/>
      <c r="S10" s="7"/>
      <c r="T10" s="7"/>
      <c r="U10" s="7"/>
      <c r="V10" s="7"/>
      <c r="W10" s="7"/>
    </row>
    <row r="11" spans="1:23" x14ac:dyDescent="0.3">
      <c r="A11" s="7"/>
      <c r="B11" s="7"/>
      <c r="C11" s="7"/>
      <c r="D11" s="7"/>
      <c r="E11" s="7"/>
      <c r="F11" s="7"/>
      <c r="G11" s="7"/>
      <c r="H11" s="7"/>
      <c r="I11" s="7"/>
      <c r="J11" s="7"/>
      <c r="K11" s="7"/>
      <c r="L11" s="7"/>
      <c r="M11" s="7"/>
      <c r="N11" s="7"/>
      <c r="O11" s="7"/>
      <c r="P11" s="7"/>
      <c r="Q11" s="7"/>
      <c r="R11" s="7"/>
      <c r="S11" s="7"/>
      <c r="T11" s="7"/>
      <c r="U11" s="7"/>
      <c r="V11" s="7"/>
      <c r="W11" s="7"/>
    </row>
    <row r="12" spans="1:23" x14ac:dyDescent="0.3">
      <c r="A12" s="7"/>
      <c r="B12" s="7"/>
      <c r="C12" s="7"/>
      <c r="D12" s="7"/>
      <c r="E12" s="7"/>
      <c r="F12" s="7"/>
      <c r="G12" s="7"/>
      <c r="H12" s="7"/>
      <c r="I12" s="7"/>
      <c r="J12" s="7"/>
      <c r="K12" s="7"/>
      <c r="L12" s="7"/>
      <c r="M12" s="7"/>
      <c r="N12" s="7"/>
      <c r="O12" s="7"/>
      <c r="P12" s="7"/>
      <c r="Q12" s="7"/>
      <c r="R12" s="7"/>
      <c r="S12" s="7"/>
      <c r="T12" s="7"/>
      <c r="U12" s="7"/>
      <c r="V12" s="7"/>
      <c r="W12" s="7"/>
    </row>
    <row r="13" spans="1:23" x14ac:dyDescent="0.3">
      <c r="A13" s="7"/>
      <c r="B13" s="7"/>
      <c r="C13" s="7"/>
      <c r="D13" s="7"/>
      <c r="E13" s="7"/>
      <c r="F13" s="7"/>
      <c r="G13" s="7"/>
      <c r="H13" s="7"/>
      <c r="I13" s="7"/>
      <c r="J13" s="7"/>
      <c r="K13" s="7"/>
      <c r="L13" s="7"/>
      <c r="M13" s="7"/>
      <c r="N13" s="7"/>
      <c r="O13" s="7"/>
      <c r="P13" s="7"/>
      <c r="Q13" s="7"/>
      <c r="R13" s="7"/>
      <c r="S13" s="7"/>
      <c r="T13" s="7"/>
      <c r="U13" s="7"/>
      <c r="V13" s="7"/>
      <c r="W13" s="7"/>
    </row>
    <row r="14" spans="1:23" x14ac:dyDescent="0.3">
      <c r="A14" s="7"/>
      <c r="B14" s="7"/>
      <c r="C14" s="7"/>
      <c r="D14" s="7"/>
      <c r="E14" s="7"/>
      <c r="F14" s="7"/>
      <c r="G14" s="7"/>
      <c r="H14" s="7"/>
      <c r="I14" s="7"/>
      <c r="J14" s="7"/>
      <c r="K14" s="7"/>
      <c r="L14" s="7"/>
      <c r="M14" s="7"/>
      <c r="N14" s="7"/>
      <c r="O14" s="7"/>
      <c r="P14" s="7"/>
      <c r="Q14" s="7"/>
      <c r="R14" s="7"/>
      <c r="S14" s="7"/>
      <c r="T14" s="7"/>
      <c r="U14" s="7"/>
      <c r="V14" s="7"/>
      <c r="W14" s="7"/>
    </row>
    <row r="15" spans="1:23" x14ac:dyDescent="0.3">
      <c r="A15" s="7"/>
      <c r="B15" s="7"/>
      <c r="C15" s="7"/>
      <c r="D15" s="7"/>
      <c r="E15" s="7"/>
      <c r="F15" s="7"/>
      <c r="G15" s="7"/>
      <c r="H15" s="7"/>
      <c r="I15" s="7"/>
      <c r="J15" s="7"/>
      <c r="K15" s="7"/>
      <c r="L15" s="7"/>
      <c r="M15" s="7"/>
      <c r="N15" s="7"/>
      <c r="O15" s="7"/>
      <c r="P15" s="7"/>
      <c r="Q15" s="7"/>
      <c r="R15" s="7"/>
      <c r="S15" s="7"/>
      <c r="T15" s="7"/>
      <c r="U15" s="7"/>
      <c r="V15" s="7"/>
      <c r="W15" s="7"/>
    </row>
    <row r="16" spans="1:23" x14ac:dyDescent="0.3">
      <c r="A16" s="7"/>
      <c r="B16" s="7"/>
      <c r="C16" s="7"/>
      <c r="D16" s="7"/>
      <c r="E16" s="7"/>
      <c r="F16" s="7"/>
      <c r="G16" s="7"/>
      <c r="H16" s="7"/>
      <c r="I16" s="7"/>
      <c r="J16" s="7"/>
      <c r="K16" s="7"/>
      <c r="L16" s="7"/>
      <c r="M16" s="7"/>
      <c r="N16" s="7"/>
      <c r="O16" s="7"/>
      <c r="P16" s="7"/>
      <c r="Q16" s="7"/>
      <c r="R16" s="7"/>
      <c r="S16" s="7"/>
      <c r="T16" s="7"/>
      <c r="U16" s="7"/>
      <c r="V16" s="7"/>
      <c r="W16" s="7"/>
    </row>
    <row r="17" spans="1:23" x14ac:dyDescent="0.3">
      <c r="A17" s="7"/>
      <c r="B17" s="7"/>
      <c r="C17" s="7"/>
      <c r="D17" s="7"/>
      <c r="E17" s="7"/>
      <c r="F17" s="7"/>
      <c r="G17" s="7"/>
      <c r="H17" s="7"/>
      <c r="I17" s="7"/>
      <c r="J17" s="7"/>
      <c r="K17" s="7"/>
      <c r="L17" s="7"/>
      <c r="M17" s="7"/>
      <c r="N17" s="7"/>
      <c r="O17" s="7"/>
      <c r="P17" s="7"/>
      <c r="Q17" s="7"/>
      <c r="R17" s="7"/>
      <c r="S17" s="7"/>
      <c r="T17" s="7"/>
      <c r="U17" s="7"/>
      <c r="V17" s="7"/>
      <c r="W17" s="7"/>
    </row>
    <row r="18" spans="1:23" x14ac:dyDescent="0.3">
      <c r="A18" s="7"/>
      <c r="B18" s="7"/>
      <c r="C18" s="7"/>
      <c r="D18" s="7"/>
      <c r="E18" s="7"/>
      <c r="F18" s="7"/>
      <c r="G18" s="7"/>
      <c r="H18" s="7"/>
      <c r="I18" s="7"/>
      <c r="J18" s="7"/>
      <c r="K18" s="7"/>
      <c r="L18" s="7"/>
      <c r="M18" s="7"/>
      <c r="N18" s="7"/>
      <c r="O18" s="7"/>
      <c r="P18" s="7"/>
      <c r="Q18" s="7"/>
      <c r="R18" s="7"/>
      <c r="S18" s="7"/>
      <c r="T18" s="7"/>
      <c r="U18" s="7"/>
      <c r="V18" s="7"/>
      <c r="W18" s="7"/>
    </row>
    <row r="19" spans="1:23" x14ac:dyDescent="0.3">
      <c r="A19" s="7"/>
      <c r="B19" s="7"/>
      <c r="C19" s="7"/>
      <c r="D19" s="7"/>
      <c r="E19" s="7"/>
      <c r="F19" s="7"/>
      <c r="G19" s="7"/>
      <c r="H19" s="7"/>
      <c r="I19" s="7"/>
      <c r="J19" s="7"/>
      <c r="K19" s="7"/>
      <c r="L19" s="7"/>
      <c r="M19" s="7"/>
      <c r="N19" s="7"/>
      <c r="O19" s="7"/>
      <c r="P19" s="7"/>
      <c r="Q19" s="7"/>
      <c r="R19" s="7"/>
      <c r="S19" s="7"/>
      <c r="T19" s="7"/>
      <c r="U19" s="7"/>
      <c r="V19" s="7"/>
      <c r="W19" s="7"/>
    </row>
    <row r="20" spans="1:23" x14ac:dyDescent="0.3">
      <c r="A20" s="7"/>
      <c r="B20" s="7"/>
      <c r="C20" s="7"/>
      <c r="D20" s="7"/>
      <c r="E20" s="7"/>
      <c r="F20" s="7"/>
      <c r="G20" s="7"/>
      <c r="H20" s="7"/>
      <c r="I20" s="7"/>
      <c r="J20" s="7"/>
      <c r="K20" s="7"/>
      <c r="L20" s="7"/>
      <c r="M20" s="7"/>
      <c r="N20" s="7"/>
      <c r="O20" s="7"/>
      <c r="P20" s="7"/>
      <c r="Q20" s="7"/>
      <c r="R20" s="7"/>
      <c r="S20" s="7"/>
      <c r="T20" s="7"/>
      <c r="U20" s="7"/>
      <c r="V20" s="7"/>
      <c r="W20" s="7"/>
    </row>
    <row r="21" spans="1:23" x14ac:dyDescent="0.3">
      <c r="A21" s="7"/>
      <c r="B21" s="7"/>
      <c r="C21" s="7"/>
      <c r="D21" s="7"/>
      <c r="E21" s="7"/>
      <c r="F21" s="7"/>
      <c r="G21" s="7"/>
      <c r="H21" s="7"/>
      <c r="I21" s="7"/>
      <c r="J21" s="7"/>
      <c r="K21" s="7"/>
      <c r="L21" s="7"/>
      <c r="M21" s="7"/>
      <c r="N21" s="7"/>
      <c r="O21" s="7"/>
      <c r="P21" s="7"/>
      <c r="Q21" s="7"/>
      <c r="R21" s="7"/>
      <c r="S21" s="7"/>
      <c r="T21" s="7"/>
      <c r="U21" s="7"/>
      <c r="V21" s="7"/>
      <c r="W21" s="7"/>
    </row>
    <row r="22" spans="1:23" x14ac:dyDescent="0.3">
      <c r="A22" s="7"/>
      <c r="B22" s="7"/>
      <c r="C22" s="7"/>
      <c r="D22" s="7"/>
      <c r="E22" s="7"/>
      <c r="F22" s="7"/>
      <c r="G22" s="7"/>
      <c r="H22" s="7"/>
      <c r="I22" s="7"/>
      <c r="J22" s="7"/>
      <c r="K22" s="7"/>
      <c r="L22" s="7"/>
      <c r="M22" s="7"/>
      <c r="N22" s="7"/>
      <c r="O22" s="7"/>
      <c r="P22" s="7"/>
      <c r="Q22" s="7"/>
      <c r="R22" s="7"/>
      <c r="S22" s="7"/>
      <c r="T22" s="7"/>
      <c r="U22" s="7"/>
      <c r="V22" s="7"/>
      <c r="W22" s="7"/>
    </row>
    <row r="23" spans="1:23" x14ac:dyDescent="0.3">
      <c r="A23" s="7"/>
      <c r="B23" s="7"/>
      <c r="C23" s="7"/>
      <c r="D23" s="7"/>
      <c r="E23" s="7"/>
      <c r="F23" s="7"/>
      <c r="G23" s="7"/>
      <c r="H23" s="7"/>
      <c r="I23" s="7"/>
      <c r="J23" s="7"/>
      <c r="K23" s="7"/>
      <c r="L23" s="7"/>
      <c r="M23" s="7"/>
      <c r="N23" s="7"/>
      <c r="O23" s="7"/>
      <c r="P23" s="7"/>
      <c r="Q23" s="7"/>
      <c r="R23" s="7"/>
      <c r="S23" s="7"/>
      <c r="T23" s="7"/>
      <c r="U23" s="7"/>
      <c r="V23" s="7"/>
      <c r="W23" s="7"/>
    </row>
    <row r="24" spans="1:23" x14ac:dyDescent="0.3">
      <c r="A24" s="6"/>
      <c r="B24" s="6"/>
      <c r="C24" s="6"/>
      <c r="D24" s="6"/>
      <c r="E24" s="6"/>
      <c r="F24" s="6"/>
      <c r="G24" s="6"/>
      <c r="H24" s="6"/>
      <c r="I24" s="6"/>
      <c r="J24" s="6"/>
      <c r="K24" s="6"/>
      <c r="L24" s="6"/>
      <c r="M24" s="6"/>
      <c r="N24" s="6"/>
      <c r="O24" s="6"/>
      <c r="P24" s="6"/>
      <c r="Q24" s="6"/>
      <c r="R24" s="6"/>
      <c r="S24" s="6"/>
      <c r="T24" s="6"/>
      <c r="U24" s="6"/>
      <c r="V24" s="6"/>
      <c r="W24" s="6"/>
    </row>
    <row r="25" spans="1:23" x14ac:dyDescent="0.3">
      <c r="A25" s="6"/>
      <c r="B25" s="6"/>
      <c r="C25" s="6"/>
      <c r="D25" s="6"/>
      <c r="E25" s="6"/>
      <c r="F25" s="6"/>
      <c r="G25" s="6"/>
      <c r="H25" s="6"/>
      <c r="I25" s="6"/>
      <c r="J25" s="6"/>
      <c r="K25" s="6"/>
      <c r="L25" s="6"/>
      <c r="M25" s="6"/>
      <c r="N25" s="6"/>
      <c r="O25" s="6"/>
      <c r="P25" s="6"/>
      <c r="Q25" s="6"/>
      <c r="R25" s="6"/>
      <c r="S25" s="6"/>
      <c r="T25" s="6"/>
      <c r="U25" s="6"/>
      <c r="V25" s="6"/>
      <c r="W25" s="6"/>
    </row>
    <row r="26" spans="1:23" x14ac:dyDescent="0.3">
      <c r="A26" s="6"/>
      <c r="B26" s="6"/>
      <c r="C26" s="6"/>
      <c r="D26" s="6"/>
      <c r="E26" s="6"/>
      <c r="F26" s="6"/>
      <c r="G26" s="6"/>
      <c r="H26" s="6"/>
      <c r="I26" s="6"/>
      <c r="J26" s="6"/>
      <c r="K26" s="6"/>
      <c r="L26" s="6"/>
      <c r="M26" s="6"/>
      <c r="N26" s="6"/>
      <c r="O26" s="6"/>
      <c r="P26" s="6"/>
      <c r="Q26" s="6"/>
      <c r="R26" s="6"/>
      <c r="S26" s="6"/>
      <c r="T26" s="6"/>
      <c r="U26" s="6"/>
      <c r="V26" s="6"/>
      <c r="W26" s="6"/>
    </row>
    <row r="27" spans="1:23" x14ac:dyDescent="0.3">
      <c r="A27" s="6"/>
      <c r="B27" s="6"/>
      <c r="C27" s="6"/>
      <c r="D27" s="6"/>
      <c r="E27" s="6"/>
      <c r="F27" s="6"/>
      <c r="G27" s="6"/>
      <c r="H27" s="6"/>
      <c r="I27" s="6"/>
      <c r="J27" s="6"/>
      <c r="K27" s="6"/>
      <c r="L27" s="6"/>
      <c r="M27" s="6"/>
      <c r="N27" s="6"/>
      <c r="O27" s="6"/>
      <c r="P27" s="6"/>
      <c r="Q27" s="6"/>
      <c r="R27" s="6"/>
      <c r="S27" s="6"/>
      <c r="T27" s="6"/>
      <c r="U27" s="6"/>
      <c r="V27" s="6"/>
      <c r="W27" s="6"/>
    </row>
    <row r="28" spans="1:23" x14ac:dyDescent="0.3">
      <c r="A28" s="6"/>
      <c r="B28" s="6"/>
      <c r="C28" s="6"/>
      <c r="D28" s="6"/>
      <c r="E28" s="6"/>
      <c r="F28" s="6"/>
      <c r="G28" s="6"/>
      <c r="H28" s="6"/>
      <c r="I28" s="6"/>
      <c r="J28" s="6"/>
      <c r="K28" s="6"/>
      <c r="L28" s="6"/>
      <c r="M28" s="6"/>
      <c r="N28" s="6"/>
      <c r="O28" s="6"/>
      <c r="P28" s="6"/>
      <c r="Q28" s="6"/>
      <c r="R28" s="6"/>
      <c r="S28" s="6"/>
      <c r="T28" s="6"/>
      <c r="U28" s="6"/>
      <c r="V28" s="6"/>
      <c r="W28" s="6"/>
    </row>
    <row r="29" spans="1:23" x14ac:dyDescent="0.3">
      <c r="A29" s="6"/>
      <c r="B29" s="6"/>
      <c r="C29" s="6"/>
      <c r="D29" s="6"/>
      <c r="E29" s="6"/>
      <c r="F29" s="6"/>
      <c r="G29" s="6"/>
      <c r="H29" s="6"/>
      <c r="I29" s="6"/>
      <c r="J29" s="6"/>
      <c r="K29" s="6"/>
      <c r="L29" s="6"/>
      <c r="M29" s="6"/>
      <c r="N29" s="6"/>
      <c r="O29" s="6"/>
      <c r="P29" s="6"/>
      <c r="Q29" s="6"/>
      <c r="R29" s="6"/>
      <c r="S29" s="6"/>
      <c r="T29" s="6"/>
      <c r="U29" s="6"/>
      <c r="V29" s="6"/>
      <c r="W29" s="6"/>
    </row>
    <row r="30" spans="1:23" x14ac:dyDescent="0.3">
      <c r="A30" s="6"/>
      <c r="B30" s="6"/>
      <c r="C30" s="6"/>
      <c r="D30" s="6"/>
      <c r="E30" s="6"/>
      <c r="F30" s="6"/>
      <c r="G30" s="6"/>
      <c r="H30" s="6"/>
      <c r="I30" s="6"/>
      <c r="J30" s="6"/>
      <c r="K30" s="6"/>
      <c r="L30" s="6"/>
      <c r="M30" s="6"/>
      <c r="N30" s="6"/>
      <c r="O30" s="6"/>
      <c r="P30" s="6"/>
      <c r="Q30" s="6"/>
      <c r="R30" s="6"/>
      <c r="S30" s="6"/>
      <c r="T30" s="6"/>
      <c r="U30" s="6"/>
      <c r="V30" s="6"/>
      <c r="W30" s="6"/>
    </row>
    <row r="31" spans="1:23" x14ac:dyDescent="0.3">
      <c r="A31" s="6"/>
      <c r="B31" s="6"/>
      <c r="C31" s="6"/>
      <c r="D31" s="6"/>
      <c r="E31" s="6"/>
      <c r="F31" s="6"/>
      <c r="G31" s="6"/>
      <c r="H31" s="6"/>
      <c r="I31" s="6"/>
      <c r="J31" s="6"/>
      <c r="K31" s="6"/>
      <c r="L31" s="6"/>
      <c r="M31" s="6"/>
      <c r="N31" s="6"/>
      <c r="O31" s="6"/>
      <c r="P31" s="6"/>
      <c r="Q31" s="6"/>
      <c r="R31" s="6"/>
      <c r="S31" s="6"/>
      <c r="T31" s="6"/>
      <c r="U31" s="6"/>
      <c r="V31" s="6"/>
      <c r="W31" s="6"/>
    </row>
    <row r="32" spans="1:23" x14ac:dyDescent="0.3">
      <c r="A32" s="6"/>
      <c r="B32" s="6"/>
      <c r="C32" s="6"/>
      <c r="D32" s="6"/>
      <c r="E32" s="6"/>
      <c r="F32" s="6"/>
      <c r="G32" s="6"/>
      <c r="H32" s="6"/>
      <c r="I32" s="6"/>
      <c r="J32" s="6"/>
      <c r="K32" s="6"/>
      <c r="L32" s="6"/>
      <c r="M32" s="6"/>
      <c r="N32" s="6"/>
      <c r="O32" s="6"/>
      <c r="P32" s="6"/>
      <c r="Q32" s="6"/>
      <c r="R32" s="6"/>
      <c r="S32" s="6"/>
      <c r="T32" s="6"/>
      <c r="U32" s="6"/>
      <c r="V32" s="6"/>
      <c r="W32" s="6"/>
    </row>
    <row r="33" spans="1:23" x14ac:dyDescent="0.3">
      <c r="A33" s="6"/>
      <c r="B33" s="6"/>
      <c r="C33" s="6"/>
      <c r="D33" s="6"/>
      <c r="E33" s="6"/>
      <c r="F33" s="6"/>
      <c r="G33" s="6"/>
      <c r="H33" s="6"/>
      <c r="I33" s="6"/>
      <c r="J33" s="6"/>
      <c r="K33" s="6"/>
      <c r="L33" s="6"/>
      <c r="M33" s="6"/>
      <c r="N33" s="6"/>
      <c r="O33" s="6"/>
      <c r="P33" s="6"/>
      <c r="Q33" s="6"/>
      <c r="R33" s="6"/>
      <c r="S33" s="6"/>
      <c r="T33" s="6"/>
      <c r="U33" s="6"/>
      <c r="V33" s="6"/>
      <c r="W33" s="6"/>
    </row>
    <row r="34" spans="1:23" x14ac:dyDescent="0.3">
      <c r="A34" s="6"/>
      <c r="B34" s="6"/>
      <c r="C34" s="6"/>
      <c r="D34" s="6"/>
      <c r="E34" s="6"/>
      <c r="F34" s="6"/>
      <c r="G34" s="6"/>
      <c r="H34" s="6"/>
      <c r="I34" s="6"/>
      <c r="J34" s="6"/>
      <c r="K34" s="6"/>
      <c r="L34" s="6"/>
      <c r="M34" s="6"/>
      <c r="N34" s="6"/>
      <c r="O34" s="6"/>
      <c r="P34" s="6"/>
      <c r="Q34" s="6"/>
      <c r="R34" s="6"/>
      <c r="S34" s="6"/>
      <c r="T34" s="6"/>
      <c r="U34" s="6"/>
      <c r="V34" s="6"/>
      <c r="W34" s="6"/>
    </row>
    <row r="35" spans="1:23" x14ac:dyDescent="0.3">
      <c r="A35" s="6"/>
      <c r="B35" s="6"/>
      <c r="C35" s="6"/>
      <c r="D35" s="6"/>
      <c r="E35" s="6"/>
      <c r="F35" s="6"/>
      <c r="G35" s="6"/>
      <c r="H35" s="6"/>
      <c r="I35" s="6"/>
      <c r="J35" s="6"/>
      <c r="K35" s="6"/>
      <c r="L35" s="6"/>
      <c r="M35" s="6"/>
      <c r="N35" s="6"/>
      <c r="O35" s="6"/>
      <c r="P35" s="6"/>
      <c r="Q35" s="6"/>
      <c r="R35" s="6"/>
      <c r="S35" s="6"/>
      <c r="T35" s="6"/>
      <c r="U35" s="6"/>
      <c r="V35" s="6"/>
      <c r="W35" s="6"/>
    </row>
    <row r="36" spans="1:23" x14ac:dyDescent="0.3">
      <c r="A36" s="6"/>
      <c r="B36" s="6"/>
      <c r="C36" s="6"/>
      <c r="D36" s="6"/>
      <c r="E36" s="6"/>
      <c r="F36" s="6"/>
      <c r="G36" s="6"/>
      <c r="H36" s="6"/>
      <c r="I36" s="6"/>
      <c r="J36" s="6"/>
      <c r="K36" s="6"/>
      <c r="L36" s="6"/>
      <c r="M36" s="6"/>
      <c r="N36" s="6"/>
      <c r="O36" s="6"/>
      <c r="P36" s="6"/>
      <c r="Q36" s="6"/>
      <c r="R36" s="6"/>
      <c r="S36" s="6"/>
      <c r="T36" s="6"/>
      <c r="U36" s="6"/>
      <c r="V36" s="6"/>
      <c r="W36" s="6"/>
    </row>
    <row r="37" spans="1:23" x14ac:dyDescent="0.3">
      <c r="A37" s="6"/>
      <c r="B37" s="6"/>
      <c r="C37" s="6"/>
      <c r="D37" s="6"/>
      <c r="E37" s="6"/>
      <c r="F37" s="6"/>
      <c r="G37" s="6"/>
      <c r="H37" s="6"/>
      <c r="I37" s="6"/>
      <c r="J37" s="6"/>
      <c r="K37" s="6"/>
      <c r="L37" s="6"/>
      <c r="M37" s="6"/>
      <c r="N37" s="6"/>
      <c r="O37" s="6"/>
      <c r="P37" s="6"/>
      <c r="Q37" s="6"/>
      <c r="R37" s="6"/>
      <c r="S37" s="6"/>
      <c r="T37" s="6"/>
      <c r="U37" s="6"/>
      <c r="V37" s="6"/>
      <c r="W37" s="6"/>
    </row>
    <row r="38" spans="1:23" x14ac:dyDescent="0.3">
      <c r="A38" s="6"/>
      <c r="B38" s="6"/>
      <c r="C38" s="6"/>
      <c r="D38" s="6"/>
      <c r="E38" s="6"/>
      <c r="F38" s="6"/>
      <c r="G38" s="6"/>
      <c r="H38" s="6"/>
      <c r="I38" s="6"/>
      <c r="J38" s="6"/>
      <c r="K38" s="6"/>
      <c r="L38" s="6"/>
      <c r="M38" s="6"/>
      <c r="N38" s="6"/>
      <c r="O38" s="6"/>
      <c r="P38" s="6"/>
      <c r="Q38" s="6"/>
      <c r="R38" s="6"/>
      <c r="S38" s="6"/>
      <c r="T38" s="6"/>
      <c r="U38" s="6"/>
      <c r="V38" s="6"/>
      <c r="W38" s="6"/>
    </row>
    <row r="39" spans="1:23" x14ac:dyDescent="0.3">
      <c r="A39" s="6"/>
      <c r="B39" s="6"/>
      <c r="C39" s="6"/>
      <c r="D39" s="6"/>
      <c r="E39" s="6"/>
      <c r="F39" s="6"/>
      <c r="G39" s="6"/>
      <c r="H39" s="6"/>
      <c r="I39" s="6"/>
      <c r="J39" s="6"/>
      <c r="K39" s="6"/>
      <c r="L39" s="6"/>
      <c r="M39" s="6"/>
      <c r="N39" s="6"/>
      <c r="O39" s="6"/>
      <c r="P39" s="6"/>
      <c r="Q39" s="6"/>
      <c r="R39" s="6"/>
      <c r="S39" s="6"/>
      <c r="T39" s="6"/>
      <c r="U39" s="6"/>
      <c r="V39" s="6"/>
      <c r="W39" s="6"/>
    </row>
    <row r="40" spans="1:23" x14ac:dyDescent="0.3">
      <c r="A40" s="6"/>
      <c r="B40" s="6"/>
      <c r="C40" s="6"/>
      <c r="D40" s="6"/>
      <c r="E40" s="6"/>
      <c r="F40" s="6"/>
      <c r="G40" s="6"/>
      <c r="H40" s="6"/>
      <c r="I40" s="6"/>
      <c r="J40" s="6"/>
      <c r="K40" s="6"/>
      <c r="L40" s="6"/>
      <c r="M40" s="6"/>
      <c r="N40" s="6"/>
      <c r="O40" s="6"/>
      <c r="P40" s="6"/>
      <c r="Q40" s="6"/>
      <c r="R40" s="6"/>
      <c r="S40" s="6"/>
      <c r="T40" s="6"/>
      <c r="U40" s="6"/>
      <c r="V40" s="6"/>
      <c r="W40" s="6"/>
    </row>
    <row r="41" spans="1:23" x14ac:dyDescent="0.3">
      <c r="A41" s="6"/>
      <c r="B41" s="6"/>
      <c r="C41" s="6"/>
      <c r="D41" s="6"/>
      <c r="E41" s="6"/>
      <c r="F41" s="6"/>
      <c r="G41" s="6"/>
      <c r="H41" s="6"/>
      <c r="I41" s="6"/>
      <c r="J41" s="6"/>
      <c r="K41" s="6"/>
      <c r="L41" s="6"/>
      <c r="M41" s="6"/>
      <c r="N41" s="6"/>
      <c r="O41" s="6"/>
      <c r="P41" s="6"/>
      <c r="Q41" s="6"/>
      <c r="R41" s="6"/>
      <c r="S41" s="6"/>
      <c r="T41" s="6"/>
      <c r="U41" s="6"/>
      <c r="V41" s="6"/>
      <c r="W41" s="6"/>
    </row>
    <row r="42" spans="1:23" s="8" customFormat="1" x14ac:dyDescent="0.3">
      <c r="A42" s="6"/>
      <c r="B42" s="6"/>
      <c r="C42" s="6"/>
      <c r="D42" s="6"/>
      <c r="E42" s="6"/>
      <c r="F42" s="6"/>
      <c r="G42" s="6"/>
      <c r="H42" s="6"/>
      <c r="I42" s="6"/>
      <c r="J42" s="6"/>
      <c r="K42" s="6"/>
      <c r="L42" s="6"/>
      <c r="M42" s="6"/>
      <c r="N42" s="6"/>
      <c r="O42" s="6"/>
      <c r="P42" s="6"/>
      <c r="Q42" s="6"/>
      <c r="R42" s="6"/>
      <c r="S42" s="6"/>
      <c r="T42" s="6"/>
      <c r="U42" s="6"/>
      <c r="V42" s="6"/>
      <c r="W42" s="6"/>
    </row>
    <row r="43" spans="1:23" s="8" customFormat="1" x14ac:dyDescent="0.3">
      <c r="A43" s="6"/>
      <c r="B43" s="6"/>
      <c r="C43" s="6"/>
      <c r="D43" s="6"/>
      <c r="E43" s="6"/>
      <c r="F43" s="6"/>
      <c r="G43" s="6"/>
      <c r="H43" s="6"/>
      <c r="I43" s="6"/>
      <c r="J43" s="6"/>
      <c r="K43" s="6"/>
      <c r="L43" s="6"/>
      <c r="M43" s="6"/>
      <c r="N43" s="6"/>
      <c r="O43" s="6"/>
      <c r="P43" s="6"/>
      <c r="Q43" s="6"/>
      <c r="R43" s="6"/>
      <c r="S43" s="6"/>
      <c r="T43" s="6"/>
      <c r="U43" s="6"/>
      <c r="V43" s="6"/>
      <c r="W43" s="6"/>
    </row>
    <row r="44" spans="1:23" s="8" customFormat="1" x14ac:dyDescent="0.3">
      <c r="A44" s="6"/>
      <c r="B44" s="6"/>
      <c r="C44" s="6"/>
      <c r="D44" s="6"/>
      <c r="E44" s="6"/>
      <c r="F44" s="6"/>
      <c r="G44" s="6"/>
      <c r="H44" s="6"/>
      <c r="I44" s="6"/>
      <c r="J44" s="6"/>
      <c r="K44" s="6"/>
      <c r="L44" s="6"/>
      <c r="M44" s="6"/>
      <c r="N44" s="6"/>
      <c r="O44" s="6"/>
      <c r="P44" s="6"/>
      <c r="Q44" s="6"/>
      <c r="R44" s="6"/>
      <c r="S44" s="6"/>
      <c r="T44" s="6"/>
      <c r="U44" s="6"/>
      <c r="V44" s="6"/>
      <c r="W44" s="6"/>
    </row>
    <row r="45" spans="1:23" s="8" customFormat="1" x14ac:dyDescent="0.3">
      <c r="A45" s="7"/>
      <c r="B45" s="7"/>
      <c r="C45" s="7"/>
      <c r="D45" s="7"/>
      <c r="E45" s="7"/>
      <c r="F45" s="7"/>
      <c r="G45" s="7"/>
      <c r="H45" s="7"/>
      <c r="I45" s="7"/>
      <c r="J45" s="7"/>
      <c r="K45" s="7"/>
      <c r="L45" s="7"/>
      <c r="M45" s="7"/>
      <c r="N45" s="7"/>
      <c r="O45" s="7"/>
      <c r="P45" s="7"/>
      <c r="Q45" s="7"/>
      <c r="R45" s="7"/>
      <c r="S45" s="7"/>
      <c r="T45" s="7"/>
      <c r="U45" s="7"/>
      <c r="V45" s="7"/>
      <c r="W45" s="7"/>
    </row>
    <row r="46" spans="1:23" s="8" customFormat="1" x14ac:dyDescent="0.3">
      <c r="A46" s="7"/>
      <c r="B46" s="7"/>
      <c r="C46" s="7"/>
      <c r="D46" s="7"/>
      <c r="E46" s="7"/>
      <c r="F46" s="7"/>
      <c r="G46" s="7"/>
      <c r="H46" s="7"/>
      <c r="I46" s="7"/>
      <c r="J46" s="7"/>
      <c r="K46" s="7"/>
      <c r="L46" s="7"/>
      <c r="M46" s="7"/>
      <c r="N46" s="7"/>
      <c r="O46" s="7"/>
      <c r="P46" s="7"/>
      <c r="Q46" s="7"/>
      <c r="R46" s="7"/>
      <c r="S46" s="7"/>
      <c r="T46" s="7"/>
      <c r="U46" s="7"/>
      <c r="V46" s="7"/>
      <c r="W46" s="7"/>
    </row>
    <row r="47" spans="1:23" s="8" customFormat="1" x14ac:dyDescent="0.3">
      <c r="A47" s="7"/>
      <c r="B47" s="7"/>
      <c r="C47" s="7"/>
      <c r="D47" s="7"/>
      <c r="E47" s="7"/>
      <c r="F47" s="7"/>
      <c r="G47" s="7"/>
      <c r="H47" s="7"/>
      <c r="I47" s="7"/>
      <c r="J47" s="7"/>
      <c r="K47" s="7"/>
      <c r="L47" s="7"/>
      <c r="M47" s="7"/>
      <c r="N47" s="7"/>
      <c r="O47" s="7"/>
      <c r="P47" s="7"/>
      <c r="Q47" s="7"/>
      <c r="R47" s="7"/>
      <c r="S47" s="7"/>
      <c r="T47" s="7"/>
      <c r="U47" s="7"/>
      <c r="V47" s="7"/>
      <c r="W47" s="7"/>
    </row>
    <row r="48" spans="1:23" s="8" customFormat="1" x14ac:dyDescent="0.3">
      <c r="A48" s="7"/>
      <c r="B48" s="7"/>
      <c r="C48" s="7"/>
      <c r="D48" s="7"/>
      <c r="E48" s="7"/>
      <c r="F48" s="7"/>
      <c r="G48" s="7"/>
      <c r="H48" s="7"/>
      <c r="I48" s="7"/>
      <c r="J48" s="7"/>
      <c r="K48" s="7"/>
      <c r="L48" s="7"/>
      <c r="M48" s="7"/>
      <c r="N48" s="7"/>
      <c r="O48" s="7"/>
      <c r="P48" s="7"/>
      <c r="Q48" s="7"/>
      <c r="R48" s="7"/>
      <c r="S48" s="7"/>
      <c r="T48" s="7"/>
      <c r="U48" s="7"/>
      <c r="V48" s="7"/>
      <c r="W48" s="7"/>
    </row>
    <row r="49" spans="1:23" s="8" customFormat="1" x14ac:dyDescent="0.3">
      <c r="A49" s="7"/>
      <c r="B49" s="7"/>
      <c r="C49" s="7"/>
      <c r="D49" s="7"/>
      <c r="E49" s="7"/>
      <c r="F49" s="7"/>
      <c r="G49" s="7"/>
      <c r="H49" s="7"/>
      <c r="I49" s="7"/>
      <c r="J49" s="7"/>
      <c r="K49" s="7"/>
      <c r="L49" s="7"/>
      <c r="M49" s="7"/>
      <c r="N49" s="7"/>
      <c r="O49" s="7"/>
      <c r="P49" s="7"/>
      <c r="Q49" s="7"/>
      <c r="R49" s="7"/>
      <c r="S49" s="7"/>
      <c r="T49" s="7"/>
      <c r="U49" s="7"/>
      <c r="V49" s="7"/>
      <c r="W49" s="7"/>
    </row>
    <row r="50" spans="1:23" s="8" customFormat="1" x14ac:dyDescent="0.3">
      <c r="A50" s="7"/>
      <c r="B50" s="7"/>
      <c r="C50" s="7"/>
      <c r="D50" s="7"/>
      <c r="E50" s="7"/>
      <c r="F50" s="7"/>
      <c r="G50" s="7"/>
      <c r="H50" s="7"/>
      <c r="I50" s="7"/>
      <c r="J50" s="7"/>
      <c r="K50" s="7"/>
      <c r="L50" s="7"/>
      <c r="M50" s="7"/>
      <c r="N50" s="7"/>
      <c r="O50" s="7"/>
      <c r="P50" s="7"/>
      <c r="Q50" s="7"/>
      <c r="R50" s="7"/>
      <c r="S50" s="7"/>
      <c r="T50" s="7"/>
      <c r="U50" s="7"/>
      <c r="V50" s="7"/>
      <c r="W50" s="7"/>
    </row>
    <row r="51" spans="1:23" s="8" customFormat="1" x14ac:dyDescent="0.3">
      <c r="A51" s="7"/>
      <c r="B51" s="7"/>
      <c r="C51" s="7"/>
      <c r="D51" s="7"/>
      <c r="E51" s="7"/>
      <c r="F51" s="7"/>
      <c r="G51" s="7"/>
      <c r="H51" s="7"/>
      <c r="I51" s="7"/>
      <c r="J51" s="7"/>
      <c r="K51" s="7"/>
      <c r="L51" s="7"/>
      <c r="M51" s="7"/>
      <c r="N51" s="7"/>
      <c r="O51" s="7"/>
      <c r="P51" s="7"/>
      <c r="Q51" s="7"/>
      <c r="R51" s="7"/>
      <c r="S51" s="7"/>
      <c r="T51" s="7"/>
      <c r="U51" s="7"/>
      <c r="V51" s="7"/>
      <c r="W51" s="7"/>
    </row>
    <row r="52" spans="1:23" s="8" customFormat="1" x14ac:dyDescent="0.3">
      <c r="A52" s="7"/>
      <c r="B52" s="7"/>
      <c r="C52" s="7"/>
      <c r="D52" s="7"/>
      <c r="E52" s="7"/>
      <c r="F52" s="7"/>
      <c r="G52" s="7"/>
      <c r="H52" s="7"/>
      <c r="I52" s="7"/>
      <c r="J52" s="7"/>
      <c r="K52" s="7"/>
      <c r="L52" s="7"/>
      <c r="M52" s="7"/>
      <c r="N52" s="7"/>
      <c r="O52" s="7"/>
      <c r="P52" s="7"/>
      <c r="Q52" s="7"/>
      <c r="R52" s="7"/>
      <c r="S52" s="7"/>
      <c r="T52" s="7"/>
      <c r="U52" s="7"/>
      <c r="V52" s="7"/>
      <c r="W52" s="7"/>
    </row>
    <row r="53" spans="1:23" s="8" customFormat="1" x14ac:dyDescent="0.3">
      <c r="A53" s="7"/>
      <c r="B53" s="7"/>
      <c r="C53" s="7"/>
      <c r="D53" s="7"/>
      <c r="E53" s="7"/>
      <c r="F53" s="7"/>
      <c r="G53" s="7"/>
      <c r="H53" s="7"/>
      <c r="I53" s="7"/>
      <c r="J53" s="7"/>
      <c r="K53" s="7"/>
      <c r="L53" s="7"/>
      <c r="M53" s="7"/>
      <c r="N53" s="7"/>
      <c r="O53" s="7"/>
      <c r="P53" s="7"/>
      <c r="Q53" s="7"/>
      <c r="R53" s="7"/>
      <c r="S53" s="7"/>
      <c r="T53" s="7"/>
      <c r="U53" s="7"/>
      <c r="V53" s="7"/>
      <c r="W53" s="7"/>
    </row>
    <row r="54" spans="1:23" s="8" customFormat="1" x14ac:dyDescent="0.3">
      <c r="A54" s="7"/>
      <c r="B54" s="7"/>
      <c r="C54" s="7"/>
      <c r="D54" s="7"/>
      <c r="E54" s="7"/>
      <c r="F54" s="7"/>
      <c r="G54" s="7"/>
      <c r="H54" s="7"/>
      <c r="I54" s="7"/>
      <c r="J54" s="7"/>
      <c r="K54" s="7"/>
      <c r="L54" s="7"/>
      <c r="M54" s="7"/>
      <c r="N54" s="7"/>
      <c r="O54" s="7"/>
      <c r="P54" s="7"/>
      <c r="Q54" s="7"/>
      <c r="R54" s="7"/>
      <c r="S54" s="7"/>
      <c r="T54" s="7"/>
      <c r="U54" s="7"/>
      <c r="V54" s="7"/>
      <c r="W54" s="7"/>
    </row>
    <row r="55" spans="1:23" s="8" customFormat="1" x14ac:dyDescent="0.3">
      <c r="A55" s="7"/>
      <c r="B55" s="7"/>
      <c r="C55" s="7"/>
      <c r="D55" s="7"/>
      <c r="E55" s="7"/>
      <c r="F55" s="7"/>
      <c r="G55" s="7"/>
      <c r="H55" s="7"/>
      <c r="I55" s="7"/>
      <c r="J55" s="7"/>
      <c r="K55" s="7"/>
      <c r="L55" s="7"/>
      <c r="M55" s="7"/>
      <c r="N55" s="7"/>
      <c r="O55" s="7"/>
      <c r="P55" s="7"/>
      <c r="Q55" s="7"/>
      <c r="R55" s="7"/>
      <c r="S55" s="7"/>
      <c r="T55" s="7"/>
      <c r="U55" s="7"/>
      <c r="V55" s="7"/>
      <c r="W55" s="7"/>
    </row>
    <row r="56" spans="1:23" s="8" customFormat="1" x14ac:dyDescent="0.3">
      <c r="A56" s="7"/>
      <c r="B56" s="7"/>
      <c r="C56" s="7"/>
      <c r="D56" s="7"/>
      <c r="E56" s="7"/>
      <c r="F56" s="7"/>
      <c r="G56" s="7"/>
      <c r="H56" s="7"/>
      <c r="I56" s="7"/>
      <c r="J56" s="7"/>
      <c r="K56" s="7"/>
      <c r="L56" s="7"/>
      <c r="M56" s="7"/>
      <c r="N56" s="7"/>
      <c r="O56" s="7"/>
      <c r="P56" s="7"/>
      <c r="Q56" s="7"/>
      <c r="R56" s="7"/>
      <c r="S56" s="7"/>
      <c r="T56" s="7"/>
      <c r="U56" s="7"/>
      <c r="V56" s="7"/>
      <c r="W56" s="7"/>
    </row>
    <row r="57" spans="1:23" s="8" customFormat="1" x14ac:dyDescent="0.3">
      <c r="A57" s="7"/>
      <c r="B57" s="7"/>
      <c r="C57" s="7"/>
      <c r="D57" s="7"/>
      <c r="E57" s="7"/>
      <c r="F57" s="7"/>
      <c r="G57" s="7"/>
      <c r="H57" s="7"/>
      <c r="I57" s="7"/>
      <c r="J57" s="7"/>
      <c r="K57" s="7"/>
      <c r="L57" s="7"/>
      <c r="M57" s="7"/>
      <c r="N57" s="7"/>
      <c r="O57" s="7"/>
      <c r="P57" s="7"/>
      <c r="Q57" s="7"/>
      <c r="R57" s="7"/>
      <c r="S57" s="7"/>
      <c r="T57" s="7"/>
      <c r="U57" s="7"/>
      <c r="V57" s="7"/>
      <c r="W57" s="7"/>
    </row>
    <row r="58" spans="1:23" s="8" customFormat="1" x14ac:dyDescent="0.3">
      <c r="A58" s="7"/>
      <c r="B58" s="7"/>
      <c r="C58" s="7"/>
      <c r="D58" s="7"/>
      <c r="E58" s="7"/>
      <c r="F58" s="7"/>
      <c r="G58" s="7"/>
      <c r="H58" s="7"/>
      <c r="I58" s="7"/>
      <c r="J58" s="7"/>
      <c r="K58" s="7"/>
      <c r="L58" s="7"/>
      <c r="M58" s="7"/>
      <c r="N58" s="7"/>
      <c r="O58" s="7"/>
      <c r="P58" s="7"/>
      <c r="Q58" s="7"/>
      <c r="R58" s="7"/>
      <c r="S58" s="7"/>
      <c r="T58" s="7"/>
      <c r="U58" s="7"/>
      <c r="V58" s="7"/>
      <c r="W58" s="7"/>
    </row>
    <row r="59" spans="1:23" s="8" customFormat="1" x14ac:dyDescent="0.3">
      <c r="A59" s="7"/>
      <c r="B59" s="7"/>
      <c r="C59" s="7"/>
      <c r="D59" s="7"/>
      <c r="E59" s="7"/>
      <c r="F59" s="7"/>
      <c r="G59" s="7"/>
      <c r="H59" s="7"/>
      <c r="I59" s="7"/>
      <c r="J59" s="7"/>
      <c r="K59" s="7"/>
      <c r="L59" s="7"/>
      <c r="M59" s="7"/>
      <c r="N59" s="7"/>
      <c r="O59" s="7"/>
      <c r="P59" s="7"/>
      <c r="Q59" s="7"/>
      <c r="R59" s="7"/>
      <c r="S59" s="7"/>
      <c r="T59" s="7"/>
      <c r="U59" s="7"/>
      <c r="V59" s="7"/>
      <c r="W59" s="7"/>
    </row>
    <row r="60" spans="1:23" s="8" customFormat="1" x14ac:dyDescent="0.3">
      <c r="A60" s="7"/>
      <c r="B60" s="7"/>
      <c r="C60" s="7"/>
      <c r="D60" s="7"/>
      <c r="E60" s="7"/>
      <c r="F60" s="7"/>
      <c r="G60" s="7"/>
      <c r="H60" s="7"/>
      <c r="I60" s="7"/>
      <c r="J60" s="7"/>
      <c r="K60" s="7"/>
      <c r="L60" s="7"/>
      <c r="M60" s="7"/>
      <c r="N60" s="7"/>
      <c r="O60" s="7"/>
      <c r="P60" s="7"/>
      <c r="Q60" s="7"/>
      <c r="R60" s="7"/>
      <c r="S60" s="7"/>
      <c r="T60" s="7"/>
      <c r="U60" s="7"/>
      <c r="V60" s="7"/>
      <c r="W60" s="7"/>
    </row>
    <row r="61" spans="1:23" s="8" customFormat="1" x14ac:dyDescent="0.3">
      <c r="A61" s="7"/>
      <c r="B61" s="7"/>
      <c r="C61" s="7"/>
      <c r="D61" s="7"/>
      <c r="E61" s="7"/>
      <c r="F61" s="7"/>
      <c r="G61" s="7"/>
      <c r="H61" s="7"/>
      <c r="I61" s="7"/>
      <c r="J61" s="7"/>
      <c r="K61" s="7"/>
      <c r="L61" s="7"/>
      <c r="M61" s="7"/>
      <c r="N61" s="7"/>
      <c r="O61" s="7"/>
      <c r="P61" s="7"/>
      <c r="Q61" s="7"/>
      <c r="R61" s="7"/>
      <c r="S61" s="7"/>
      <c r="T61" s="7"/>
      <c r="U61" s="7"/>
      <c r="V61" s="7"/>
      <c r="W61" s="7"/>
    </row>
    <row r="62" spans="1:23" s="8" customFormat="1" x14ac:dyDescent="0.3">
      <c r="A62" s="7"/>
      <c r="B62" s="7"/>
      <c r="C62" s="7"/>
      <c r="D62" s="7"/>
      <c r="E62" s="7"/>
      <c r="F62" s="7"/>
      <c r="G62" s="7"/>
      <c r="H62" s="7"/>
      <c r="I62" s="7"/>
      <c r="J62" s="7"/>
      <c r="K62" s="7"/>
      <c r="L62" s="7"/>
      <c r="M62" s="7"/>
      <c r="N62" s="7"/>
      <c r="O62" s="7"/>
      <c r="P62" s="7"/>
      <c r="Q62" s="7"/>
      <c r="R62" s="7"/>
      <c r="S62" s="7"/>
      <c r="T62" s="7"/>
      <c r="U62" s="7"/>
      <c r="V62" s="7"/>
      <c r="W62" s="7"/>
    </row>
    <row r="63" spans="1:23" s="8" customFormat="1" x14ac:dyDescent="0.3">
      <c r="A63" s="7"/>
      <c r="B63" s="7"/>
      <c r="C63" s="7"/>
      <c r="D63" s="7"/>
      <c r="E63" s="7"/>
      <c r="F63" s="7"/>
      <c r="G63" s="7"/>
      <c r="H63" s="7"/>
      <c r="I63" s="7"/>
      <c r="J63" s="7"/>
      <c r="K63" s="7"/>
      <c r="L63" s="7"/>
      <c r="M63" s="7"/>
      <c r="N63" s="7"/>
      <c r="O63" s="7"/>
      <c r="P63" s="7"/>
      <c r="Q63" s="7"/>
      <c r="R63" s="7"/>
      <c r="S63" s="7"/>
      <c r="T63" s="7"/>
      <c r="U63" s="7"/>
      <c r="V63" s="7"/>
      <c r="W63" s="7"/>
    </row>
    <row r="64" spans="1:23" s="8" customFormat="1" x14ac:dyDescent="0.3">
      <c r="A64" s="7"/>
      <c r="B64" s="7"/>
      <c r="C64" s="7"/>
      <c r="D64" s="7"/>
      <c r="E64" s="7"/>
      <c r="F64" s="7"/>
      <c r="G64" s="7"/>
      <c r="H64" s="7"/>
      <c r="I64" s="7"/>
      <c r="J64" s="7"/>
      <c r="K64" s="7"/>
      <c r="L64" s="7"/>
      <c r="M64" s="7"/>
      <c r="N64" s="7"/>
      <c r="O64" s="7"/>
      <c r="P64" s="7"/>
      <c r="Q64" s="7"/>
      <c r="R64" s="7"/>
      <c r="S64" s="7"/>
      <c r="T64" s="7"/>
      <c r="U64" s="7"/>
      <c r="V64" s="7"/>
      <c r="W64" s="7"/>
    </row>
    <row r="65" spans="1:23" s="8" customFormat="1" x14ac:dyDescent="0.3">
      <c r="A65"/>
      <c r="B65"/>
      <c r="C65"/>
      <c r="D65"/>
      <c r="E65"/>
      <c r="F65"/>
      <c r="G65"/>
      <c r="H65"/>
      <c r="I65"/>
      <c r="J65"/>
      <c r="K65"/>
      <c r="L65"/>
      <c r="M65"/>
      <c r="N65"/>
      <c r="O65"/>
      <c r="P65"/>
      <c r="Q65"/>
      <c r="R65"/>
      <c r="S65"/>
      <c r="T65"/>
      <c r="U65"/>
      <c r="V65"/>
      <c r="W65"/>
    </row>
  </sheetData>
  <mergeCells count="1">
    <mergeCell ref="A1:W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Uncleaned_Blinkit_Data</vt:lpstr>
      <vt:lpstr>Area wise customer rating</vt:lpstr>
      <vt:lpstr>Customer prefrence in product</vt:lpstr>
      <vt:lpstr>Day wise sales</vt:lpstr>
      <vt:lpstr>City wise Category and sales co</vt:lpstr>
      <vt:lpstr>Product sales </vt:lpstr>
      <vt:lpstr>Dashbaord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Soheb Mulla</cp:lastModifiedBy>
  <dcterms:created xsi:type="dcterms:W3CDTF">2025-12-30T11:18:55Z</dcterms:created>
  <dcterms:modified xsi:type="dcterms:W3CDTF">2026-01-04T17:11:38Z</dcterms:modified>
</cp:coreProperties>
</file>